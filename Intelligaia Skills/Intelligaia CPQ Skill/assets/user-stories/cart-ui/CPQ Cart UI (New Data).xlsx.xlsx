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force" sheetId="1" r:id="rId3"/>
    <sheet state="visible" name="Telenor" sheetId="2" r:id="rId4"/>
    <sheet state="visible" name="Akamai" sheetId="3" r:id="rId5"/>
    <sheet state="visible" name="Sheet1" sheetId="4" r:id="rId6"/>
  </sheets>
  <definedNames/>
  <calcPr/>
</workbook>
</file>

<file path=xl/sharedStrings.xml><?xml version="1.0" encoding="utf-8"?>
<sst xmlns="http://schemas.openxmlformats.org/spreadsheetml/2006/main" count="387" uniqueCount="120">
  <si>
    <t>product</t>
  </si>
  <si>
    <t>Price Type</t>
  </si>
  <si>
    <t>Pricing Frequency</t>
  </si>
  <si>
    <t>Charge Type</t>
  </si>
  <si>
    <t>Quantity</t>
  </si>
  <si>
    <t>Term</t>
  </si>
  <si>
    <t>Start Date</t>
  </si>
  <si>
    <t>End Date</t>
  </si>
  <si>
    <t>List Price</t>
  </si>
  <si>
    <t>Base Price</t>
  </si>
  <si>
    <t>Option Price</t>
  </si>
  <si>
    <t>Base Extended Price</t>
  </si>
  <si>
    <t>Total Base Price</t>
  </si>
  <si>
    <t>Adj. Type</t>
  </si>
  <si>
    <t>Adj. Amt.</t>
  </si>
  <si>
    <t>Guidance</t>
  </si>
  <si>
    <t>Adjusted Price</t>
  </si>
  <si>
    <t>Approval Status</t>
  </si>
  <si>
    <t>Net Price</t>
  </si>
  <si>
    <t>New Cart</t>
  </si>
  <si>
    <t>Sales Cloud - Enterprise Edition</t>
  </si>
  <si>
    <t>Recurring</t>
  </si>
  <si>
    <t>Monthly</t>
  </si>
  <si>
    <t>Subscription</t>
  </si>
  <si>
    <t>(%)</t>
  </si>
  <si>
    <t>Service Cloud - Enterprise Edition</t>
  </si>
  <si>
    <t>Approval Required</t>
  </si>
  <si>
    <t>Service Cloud - Enterprise Edition - Knowledge Pack</t>
  </si>
  <si>
    <t>DETAIL</t>
  </si>
  <si>
    <t>BASE PRODUCT</t>
  </si>
  <si>
    <t>Service cloud - Enterprise Edition - Knowledge Pack</t>
  </si>
  <si>
    <t>OPTIONS</t>
  </si>
  <si>
    <t>included options</t>
  </si>
  <si>
    <t>Knowledge</t>
  </si>
  <si>
    <t>Service Cloud User</t>
  </si>
  <si>
    <t>VIEW BY CHARGE TYPE</t>
  </si>
  <si>
    <t>subscription</t>
  </si>
  <si>
    <t>Service cloud - Enterprise Edition - Knowledge Edition</t>
  </si>
  <si>
    <t>Product</t>
  </si>
  <si>
    <t>Adj. Price</t>
  </si>
  <si>
    <t>VoIP</t>
  </si>
  <si>
    <t>multiple charge types</t>
  </si>
  <si>
    <t>multiple quantity</t>
  </si>
  <si>
    <t>One time charges</t>
  </si>
  <si>
    <t>Recurring charges</t>
  </si>
  <si>
    <t>DETAILS</t>
  </si>
  <si>
    <t>BUNDLE</t>
  </si>
  <si>
    <t>One time</t>
  </si>
  <si>
    <t>one time fee</t>
  </si>
  <si>
    <t>Approval required</t>
  </si>
  <si>
    <t>Telephony establishment</t>
  </si>
  <si>
    <t>router (BBT)</t>
  </si>
  <si>
    <t>engagement fee</t>
  </si>
  <si>
    <t>shipping</t>
  </si>
  <si>
    <t>telephone subscription</t>
  </si>
  <si>
    <t>recurring</t>
  </si>
  <si>
    <t>monthly</t>
  </si>
  <si>
    <t>subscription fee</t>
  </si>
  <si>
    <t>Phone porting</t>
  </si>
  <si>
    <t>porting of numbers</t>
  </si>
  <si>
    <t>Telephony additional services</t>
  </si>
  <si>
    <t>Flexible blocking</t>
  </si>
  <si>
    <t>Block diverted calls</t>
  </si>
  <si>
    <t>Refine invoice</t>
  </si>
  <si>
    <t>Booking hidden numbers</t>
  </si>
  <si>
    <t>Booking a number transfer</t>
  </si>
  <si>
    <t>VIEW BY CHARGE TYPES</t>
  </si>
  <si>
    <t>package price</t>
  </si>
  <si>
    <t>One time fee</t>
  </si>
  <si>
    <t>new install fiber+decoder+broadband</t>
  </si>
  <si>
    <t>one time</t>
  </si>
  <si>
    <t>one time charges</t>
  </si>
  <si>
    <t>recurring charges</t>
  </si>
  <si>
    <t>OPTION DETAILS</t>
  </si>
  <si>
    <t>new install fiber</t>
  </si>
  <si>
    <t>basic package TV</t>
  </si>
  <si>
    <t>Broadband Speed Fiber</t>
  </si>
  <si>
    <t>broadband 25 fiber</t>
  </si>
  <si>
    <t>Decoders</t>
  </si>
  <si>
    <t>T-We box (ADB 5743)</t>
  </si>
  <si>
    <t>multiple charges</t>
  </si>
  <si>
    <t>program card</t>
  </si>
  <si>
    <t>VIEW BY CHARGE GROUP</t>
  </si>
  <si>
    <t>boradband 25 fiber</t>
  </si>
  <si>
    <t>CPQ</t>
  </si>
  <si>
    <t>one-time charges</t>
  </si>
  <si>
    <t>Total Net price</t>
  </si>
  <si>
    <t>installation fee</t>
  </si>
  <si>
    <t>yearly</t>
  </si>
  <si>
    <t>maintenance fee</t>
  </si>
  <si>
    <t>ion standard</t>
  </si>
  <si>
    <t>Ion standard</t>
  </si>
  <si>
    <t>OPTION</t>
  </si>
  <si>
    <t>Included</t>
  </si>
  <si>
    <t>Platform fee</t>
  </si>
  <si>
    <t>Web Experience Included</t>
  </si>
  <si>
    <t>Total GB/MPV Overage</t>
  </si>
  <si>
    <t>Overage</t>
  </si>
  <si>
    <t>Site Analyzer</t>
  </si>
  <si>
    <t>Included Units</t>
  </si>
  <si>
    <t>Enhance</t>
  </si>
  <si>
    <t>Enahnce/SSL Certificates</t>
  </si>
  <si>
    <t>HTTPS Option</t>
  </si>
  <si>
    <t>SSL Network Access - Single Hostname</t>
  </si>
  <si>
    <t>SSL Network Access - Extended Validation</t>
  </si>
  <si>
    <t>SSL Network Access - EV SAN</t>
  </si>
  <si>
    <t>SSL Network Access - Wildcard</t>
  </si>
  <si>
    <t>SSL Network Access - SAN</t>
  </si>
  <si>
    <t>Enhance/China SDN</t>
  </si>
  <si>
    <t>China SDN with HTTPS</t>
  </si>
  <si>
    <t>ION STANDARD</t>
  </si>
  <si>
    <t>Ability to mark a bundle as a marketing bundle</t>
  </si>
  <si>
    <t>Ion Standard</t>
  </si>
  <si>
    <t>smart colapse-expand (either configurable or based on the number of lines)</t>
  </si>
  <si>
    <t>Enchance/SSL Certificates</t>
  </si>
  <si>
    <t>SSL Network Access - 3rd Party Certificate</t>
  </si>
  <si>
    <t>Enhance/China CDN</t>
  </si>
  <si>
    <t>China CDN with HTTPS</t>
  </si>
  <si>
    <t>Enhance/Advanced</t>
  </si>
  <si>
    <t>Beta Channel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</si>
</sst>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[$USD]\ * #,##0.00_);_([$USD]\ * \(#,##0.00\);_([$USD]\ * &quot;-&quot;??_);_(@_)"/>
    <numFmt numFmtId="166" formatCode="[$USD]\ #,##0.00"/>
    <numFmt numFmtId="167" formatCode="_(* #,##0.00_);_(* \(#,##0.00\);_(* &quot;-&quot;??_);_(@_)"/>
  </numFmts>
  <fonts count="69">
    <font>
      <sz val="11.0"/>
      <color rgb="FF000000"/>
      <name val="Calibri"/>
    </font>
    <font>
      <b/>
      <sz val="14.0"/>
      <color rgb="FF000000"/>
      <name val="Calibri"/>
    </font>
    <font>
      <b/>
      <i/>
      <sz val="11.0"/>
      <color rgb="FF7F7F7F"/>
      <name val="Calibri"/>
    </font>
    <font>
      <b/>
      <sz val="20.0"/>
      <color rgb="FFFFFFFF"/>
      <name val="Calibri"/>
    </font>
    <font>
      <i/>
      <sz val="11.0"/>
      <color rgb="FF7F7F7F"/>
      <name val="Calibri"/>
    </font>
    <font>
      <sz val="11.0"/>
      <color rgb="FFFFFFFF"/>
      <name val="Calibri"/>
    </font>
    <font>
      <b/>
      <sz val="11.0"/>
      <color rgb="FF000000"/>
      <name val="Lucida sans"/>
    </font>
    <font>
      <b/>
      <u/>
      <sz val="11.0"/>
      <color rgb="FF000000"/>
      <name val="Lucida sans"/>
    </font>
    <font>
      <b/>
      <u/>
      <sz val="11.0"/>
      <color rgb="FF000000"/>
      <name val="Lucida sans"/>
    </font>
    <font>
      <b/>
      <u/>
      <sz val="11.0"/>
      <color rgb="FF000000"/>
      <name val="Lucida sans"/>
    </font>
    <font>
      <b/>
      <u/>
      <sz val="11.0"/>
      <color rgb="FF000000"/>
      <name val="Lucida sans"/>
    </font>
    <font>
      <b/>
      <u/>
      <sz val="11.0"/>
      <color rgb="FF000000"/>
      <name val="Lucida sans"/>
    </font>
    <font>
      <b/>
      <u/>
      <sz val="11.0"/>
      <color rgb="FF000000"/>
      <name val="Lucida sans"/>
    </font>
    <font>
      <i/>
      <sz val="11.0"/>
      <color rgb="FF000000"/>
      <name val="Calibri"/>
    </font>
    <font>
      <b/>
      <u/>
      <sz val="11.0"/>
      <color rgb="FF000000"/>
      <name val="Lucida sans"/>
    </font>
    <font>
      <b/>
      <u/>
      <sz val="11.0"/>
      <color rgb="FF000000"/>
      <name val="Lucida sans"/>
    </font>
    <font>
      <i/>
      <u/>
      <sz val="11.0"/>
      <color rgb="FF000000"/>
      <name val="Calibri"/>
    </font>
    <font>
      <i/>
      <u/>
      <sz val="11.0"/>
      <color rgb="FF000000"/>
      <name val="Calibri"/>
    </font>
    <font>
      <i/>
      <u/>
      <sz val="11.0"/>
      <color rgb="FF000000"/>
      <name val="Calibri"/>
    </font>
    <font>
      <i/>
      <u/>
      <sz val="11.0"/>
      <color rgb="FF000000"/>
      <name val="Calibri"/>
    </font>
    <font>
      <i/>
      <u/>
      <sz val="11.0"/>
      <color rgb="FF000000"/>
      <name val="Calibri"/>
    </font>
    <font>
      <b/>
      <sz val="11.0"/>
      <color rgb="FF000000"/>
      <name val="Calibri"/>
    </font>
    <font>
      <b/>
      <i/>
      <sz val="14.0"/>
      <color rgb="FF7F7F7F"/>
      <name val="Calibri"/>
    </font>
    <font>
      <b/>
      <i/>
      <sz val="11.0"/>
      <color rgb="FF7F7F7F"/>
      <name val="Lucida sans"/>
    </font>
    <font>
      <i/>
      <u/>
      <sz val="11.0"/>
      <color rgb="FF000000"/>
      <name val="Calibri"/>
    </font>
    <font>
      <i/>
      <u/>
      <sz val="11.0"/>
      <color rgb="FF000000"/>
      <name val="Calibri"/>
    </font>
    <font>
      <b/>
      <i/>
      <sz val="11.0"/>
      <color rgb="FF000000"/>
      <name val="Lucida sans"/>
    </font>
    <font>
      <i/>
      <sz val="11.0"/>
      <color rgb="FF7F7F7F"/>
      <name val="Lucida sans"/>
    </font>
    <font>
      <sz val="11.0"/>
      <color rgb="FF000000"/>
      <name val="Lucida sans"/>
    </font>
    <font>
      <i/>
      <sz val="11.0"/>
      <color rgb="FF000000"/>
      <name val="Lucida sans"/>
    </font>
    <font>
      <i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Lucida sans"/>
    </font>
    <font>
      <b/>
      <u/>
      <sz val="11.0"/>
      <color rgb="FF000000"/>
      <name val="Lucida sans"/>
    </font>
    <font>
      <u/>
      <sz val="11.0"/>
      <color rgb="FF000000"/>
      <name val="Calibri"/>
    </font>
    <font>
      <i/>
      <sz val="11.0"/>
      <name val="Calibri"/>
    </font>
    <font>
      <i/>
      <u/>
      <sz val="11.0"/>
      <color rgb="FF000000"/>
      <name val="Calibri"/>
    </font>
    <font>
      <i/>
      <u/>
      <sz val="11.0"/>
      <name val="Calibri"/>
    </font>
    <font>
      <sz val="11.0"/>
      <name val="Calibri"/>
    </font>
    <font>
      <i/>
      <sz val="11.0"/>
      <name val="Lucida sans"/>
    </font>
    <font>
      <sz val="11.0"/>
      <name val="Lucida sans"/>
    </font>
    <font>
      <i/>
      <u/>
      <sz val="11.0"/>
      <name val="Lucida sans"/>
    </font>
    <font>
      <i/>
      <u/>
      <sz val="11.0"/>
      <name val="Lucida sans"/>
    </font>
    <font>
      <b/>
      <sz val="11.0"/>
      <name val="Lucida sans"/>
    </font>
    <font>
      <i/>
      <u/>
      <sz val="11.0"/>
      <name val="Calibri"/>
    </font>
    <font>
      <i/>
      <u/>
      <sz val="11.0"/>
      <name val="Calibri"/>
    </font>
    <font>
      <i/>
      <u/>
      <sz val="11.0"/>
      <color rgb="FF000000"/>
      <name val="Calibri"/>
    </font>
    <font>
      <i/>
      <u/>
      <sz val="11.0"/>
      <color rgb="FF000000"/>
      <name val="Calibri"/>
    </font>
    <font>
      <u/>
      <sz val="11.0"/>
      <color rgb="FF000000"/>
      <name val="Calibri"/>
    </font>
    <font>
      <i/>
      <u/>
      <sz val="11.0"/>
      <color rgb="FF000000"/>
      <name val="Calibri"/>
    </font>
    <font>
      <u/>
      <sz val="11.0"/>
      <color rgb="FF000000"/>
      <name val="Lucida sans"/>
    </font>
    <font>
      <i/>
      <u/>
      <sz val="11.0"/>
      <color rgb="FF000000"/>
      <name val="Calibri"/>
    </font>
    <font>
      <i/>
      <u/>
      <sz val="11.0"/>
      <color rgb="FF000000"/>
      <name val="Lucida sans"/>
    </font>
    <font>
      <i/>
      <u/>
      <sz val="11.0"/>
      <color rgb="FF000000"/>
      <name val="Lucida sans"/>
    </font>
    <font>
      <i/>
      <u/>
      <sz val="11.0"/>
      <color rgb="FF000000"/>
      <name val="Lucida sans"/>
    </font>
    <font>
      <i/>
      <u/>
      <sz val="11.0"/>
      <color rgb="FF000000"/>
      <name val="Lucida sans"/>
    </font>
    <font>
      <i/>
      <u/>
      <sz val="11.0"/>
      <color rgb="FF000000"/>
      <name val="Calibri"/>
    </font>
    <font>
      <i/>
      <u/>
      <sz val="11.0"/>
      <color rgb="FF000000"/>
      <name val="Calibri"/>
    </font>
    <font>
      <u/>
      <sz val="11.0"/>
      <color rgb="FF000000"/>
      <name val="Lucida sans"/>
    </font>
    <font>
      <b/>
      <u/>
      <sz val="11.0"/>
      <color rgb="FF000000"/>
      <name val="Calibri"/>
    </font>
    <font>
      <b/>
      <u/>
      <sz val="11.0"/>
      <color rgb="FF000000"/>
      <name val="Lucida sans"/>
    </font>
    <font>
      <b/>
      <u/>
      <sz val="11.0"/>
      <color rgb="FF000000"/>
      <name val="Lucida sans"/>
    </font>
    <font>
      <i/>
      <sz val="11.0"/>
      <color rgb="FFDBE5F1"/>
      <name val="Calibri"/>
    </font>
    <font>
      <i/>
      <sz val="11.0"/>
      <color rgb="FFDBE5F1"/>
      <name val="Lucida sans"/>
    </font>
    <font>
      <sz val="11.0"/>
      <color rgb="FFDBE5F1"/>
      <name val="Lucida sans"/>
    </font>
    <font>
      <u/>
      <sz val="11.0"/>
      <color rgb="FFDBE5F1"/>
      <name val="Lucida sans"/>
    </font>
    <font>
      <i/>
      <u/>
      <sz val="11.0"/>
      <color rgb="FF000000"/>
      <name val="Calibri"/>
    </font>
    <font>
      <u/>
      <sz val="11.0"/>
      <color rgb="FF000000"/>
      <name val="Calibri"/>
    </font>
    <font>
      <b/>
      <i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DE9D9"/>
        <bgColor rgb="FFFDE9D9"/>
      </patternFill>
    </fill>
    <fill>
      <patternFill patternType="solid">
        <fgColor rgb="FF00B050"/>
        <bgColor rgb="FF00B050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4">
    <border/>
    <border>
      <left/>
      <right/>
      <top/>
      <bottom/>
    </border>
    <border>
      <bottom style="medium">
        <color rgb="FF000000"/>
      </bottom>
    </border>
    <border>
      <bottom style="medium">
        <color rgb="FFC0504D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1" fillId="2" fontId="3" numFmtId="0" xfId="0" applyAlignment="1" applyBorder="1" applyFill="1" applyFont="1">
      <alignment horizontal="center" shrinkToFit="0" vertical="center" wrapText="0"/>
    </xf>
    <xf borderId="1" fillId="2" fontId="4" numFmtId="0" xfId="0" applyAlignment="1" applyBorder="1" applyFont="1">
      <alignment shrinkToFit="0" wrapText="0"/>
    </xf>
    <xf borderId="1" fillId="2" fontId="5" numFmtId="0" xfId="0" applyAlignment="1" applyBorder="1" applyFont="1">
      <alignment shrinkToFit="0" wrapText="0"/>
    </xf>
    <xf borderId="1" fillId="3" fontId="6" numFmtId="0" xfId="0" applyAlignment="1" applyBorder="1" applyFill="1" applyFont="1">
      <alignment shrinkToFit="0" wrapText="1"/>
    </xf>
    <xf borderId="1" fillId="3" fontId="4" numFmtId="0" xfId="0" applyAlignment="1" applyBorder="1" applyFont="1">
      <alignment shrinkToFit="0" wrapText="0"/>
    </xf>
    <xf borderId="1" fillId="3" fontId="6" numFmtId="0" xfId="0" applyAlignment="1" applyBorder="1" applyFont="1">
      <alignment horizontal="left" shrinkToFit="0" wrapText="0"/>
    </xf>
    <xf borderId="1" fillId="3" fontId="7" numFmtId="164" xfId="0" applyAlignment="1" applyBorder="1" applyFont="1" applyNumberFormat="1">
      <alignment horizontal="left" shrinkToFit="0" wrapText="0"/>
    </xf>
    <xf borderId="1" fillId="3" fontId="8" numFmtId="14" xfId="0" applyAlignment="1" applyBorder="1" applyFont="1" applyNumberFormat="1">
      <alignment horizontal="left" shrinkToFit="0" wrapText="0"/>
    </xf>
    <xf borderId="1" fillId="3" fontId="6" numFmtId="165" xfId="0" applyAlignment="1" applyBorder="1" applyFont="1" applyNumberFormat="1">
      <alignment horizontal="left" shrinkToFit="0" wrapText="0"/>
    </xf>
    <xf borderId="1" fillId="3" fontId="9" numFmtId="0" xfId="0" applyAlignment="1" applyBorder="1" applyFont="1">
      <alignment horizontal="left" shrinkToFit="0" wrapText="0"/>
    </xf>
    <xf borderId="1" fillId="4" fontId="6" numFmtId="0" xfId="0" applyAlignment="1" applyBorder="1" applyFill="1" applyFont="1">
      <alignment horizontal="left" shrinkToFit="0" wrapText="0"/>
    </xf>
    <xf borderId="1" fillId="3" fontId="6" numFmtId="166" xfId="0" applyAlignment="1" applyBorder="1" applyFont="1" applyNumberFormat="1">
      <alignment horizontal="left" shrinkToFit="0" wrapText="0"/>
    </xf>
    <xf borderId="0" fillId="0" fontId="0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0" fontId="0" numFmtId="0" xfId="0" applyAlignment="1" applyFont="1">
      <alignment horizontal="left" shrinkToFit="0" wrapText="0"/>
    </xf>
    <xf borderId="1" fillId="5" fontId="6" numFmtId="0" xfId="0" applyAlignment="1" applyBorder="1" applyFill="1" applyFont="1">
      <alignment shrinkToFit="0" wrapText="1"/>
    </xf>
    <xf borderId="1" fillId="5" fontId="4" numFmtId="0" xfId="0" applyAlignment="1" applyBorder="1" applyFont="1">
      <alignment shrinkToFit="0" wrapText="0"/>
    </xf>
    <xf borderId="1" fillId="5" fontId="6" numFmtId="0" xfId="0" applyAlignment="1" applyBorder="1" applyFont="1">
      <alignment horizontal="left" shrinkToFit="0" wrapText="0"/>
    </xf>
    <xf borderId="1" fillId="5" fontId="10" numFmtId="164" xfId="0" applyAlignment="1" applyBorder="1" applyFont="1" applyNumberFormat="1">
      <alignment horizontal="left" shrinkToFit="0" wrapText="0"/>
    </xf>
    <xf borderId="1" fillId="5" fontId="11" numFmtId="14" xfId="0" applyAlignment="1" applyBorder="1" applyFont="1" applyNumberFormat="1">
      <alignment horizontal="right" shrinkToFit="0" wrapText="0"/>
    </xf>
    <xf borderId="1" fillId="5" fontId="6" numFmtId="165" xfId="0" applyAlignment="1" applyBorder="1" applyFont="1" applyNumberFormat="1">
      <alignment horizontal="left" shrinkToFit="0" wrapText="0"/>
    </xf>
    <xf borderId="1" fillId="5" fontId="12" numFmtId="0" xfId="0" applyAlignment="1" applyBorder="1" applyFont="1">
      <alignment horizontal="left" shrinkToFit="0" wrapText="0"/>
    </xf>
    <xf borderId="1" fillId="6" fontId="6" numFmtId="0" xfId="0" applyAlignment="1" applyBorder="1" applyFill="1" applyFont="1">
      <alignment horizontal="left" shrinkToFit="0" wrapText="0"/>
    </xf>
    <xf borderId="1" fillId="5" fontId="6" numFmtId="0" xfId="0" applyAlignment="1" applyBorder="1" applyFont="1">
      <alignment horizontal="left" shrinkToFit="0" wrapText="1"/>
    </xf>
    <xf borderId="1" fillId="5" fontId="6" numFmtId="166" xfId="0" applyAlignment="1" applyBorder="1" applyFont="1" applyNumberFormat="1">
      <alignment horizontal="left" shrinkToFit="0" wrapText="0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horizontal="left" shrinkToFit="0" wrapText="0"/>
    </xf>
    <xf borderId="0" fillId="0" fontId="6" numFmtId="164" xfId="0" applyAlignment="1" applyFont="1" applyNumberFormat="1">
      <alignment horizontal="left" shrinkToFit="0" wrapText="0"/>
    </xf>
    <xf borderId="0" fillId="0" fontId="6" numFmtId="14" xfId="0" applyAlignment="1" applyFont="1" applyNumberFormat="1">
      <alignment horizontal="right" shrinkToFit="0" wrapText="0"/>
    </xf>
    <xf borderId="0" fillId="0" fontId="6" numFmtId="165" xfId="0" applyAlignment="1" applyFont="1" applyNumberFormat="1">
      <alignment horizontal="left" shrinkToFit="0" wrapText="0"/>
    </xf>
    <xf borderId="0" fillId="0" fontId="6" numFmtId="167" xfId="0" applyAlignment="1" applyFont="1" applyNumberFormat="1">
      <alignment horizontal="left" shrinkToFit="0" wrapText="0"/>
    </xf>
    <xf borderId="1" fillId="6" fontId="13" numFmtId="0" xfId="0" applyAlignment="1" applyBorder="1" applyFont="1">
      <alignment shrinkToFit="0" wrapText="0"/>
    </xf>
    <xf borderId="0" fillId="0" fontId="6" numFmtId="0" xfId="0" applyAlignment="1" applyFont="1">
      <alignment horizontal="left" shrinkToFit="0" wrapText="1"/>
    </xf>
    <xf borderId="0" fillId="0" fontId="6" numFmtId="166" xfId="0" applyAlignment="1" applyFont="1" applyNumberFormat="1">
      <alignment horizontal="left" shrinkToFit="0" wrapText="0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wrapText="0"/>
    </xf>
    <xf borderId="0" fillId="0" fontId="6" numFmtId="0" xfId="0" applyAlignment="1" applyFont="1">
      <alignment shrinkToFit="0" wrapText="0"/>
    </xf>
    <xf borderId="0" fillId="0" fontId="6" numFmtId="164" xfId="0" applyAlignment="1" applyFont="1" applyNumberFormat="1">
      <alignment horizontal="center" shrinkToFit="0" wrapText="0"/>
    </xf>
    <xf borderId="0" fillId="0" fontId="6" numFmtId="14" xfId="0" applyAlignment="1" applyFont="1" applyNumberFormat="1">
      <alignment horizontal="center" shrinkToFit="0" wrapText="0"/>
    </xf>
    <xf borderId="0" fillId="0" fontId="6" numFmtId="165" xfId="0" applyAlignment="1" applyFont="1" applyNumberFormat="1">
      <alignment horizontal="right" shrinkToFit="0" wrapText="0"/>
    </xf>
    <xf borderId="0" fillId="0" fontId="14" numFmtId="0" xfId="0" applyAlignment="1" applyFont="1">
      <alignment horizontal="right" shrinkToFit="0" wrapText="0"/>
    </xf>
    <xf borderId="0" fillId="0" fontId="15" numFmtId="164" xfId="0" applyAlignment="1" applyFont="1" applyNumberFormat="1">
      <alignment shrinkToFit="0" wrapText="0"/>
    </xf>
    <xf borderId="0" fillId="0" fontId="13" numFmtId="0" xfId="0" applyAlignment="1" applyFont="1">
      <alignment shrinkToFit="0" wrapText="0"/>
    </xf>
    <xf borderId="0" fillId="0" fontId="6" numFmtId="165" xfId="0" applyAlignment="1" applyFont="1" applyNumberFormat="1">
      <alignment shrinkToFit="0" wrapText="0"/>
    </xf>
    <xf borderId="0" fillId="0" fontId="13" numFmtId="0" xfId="0" applyAlignment="1" applyFont="1">
      <alignment shrinkToFit="0" vertical="top" wrapText="1"/>
    </xf>
    <xf borderId="0" fillId="0" fontId="6" numFmtId="166" xfId="0" applyAlignment="1" applyFont="1" applyNumberFormat="1">
      <alignment shrinkToFit="0" wrapText="0"/>
    </xf>
    <xf borderId="0" fillId="0" fontId="13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shrinkToFit="0" wrapText="0"/>
    </xf>
    <xf borderId="0" fillId="0" fontId="16" numFmtId="164" xfId="0" applyAlignment="1" applyFont="1" applyNumberFormat="1">
      <alignment horizontal="center" shrinkToFit="0" wrapText="0"/>
    </xf>
    <xf borderId="0" fillId="0" fontId="17" numFmtId="14" xfId="0" applyAlignment="1" applyFont="1" applyNumberFormat="1">
      <alignment horizontal="right" shrinkToFit="0" wrapText="0"/>
    </xf>
    <xf borderId="0" fillId="0" fontId="13" numFmtId="165" xfId="0" applyAlignment="1" applyFont="1" applyNumberFormat="1">
      <alignment horizontal="right" shrinkToFit="0" wrapText="0"/>
    </xf>
    <xf borderId="0" fillId="0" fontId="18" numFmtId="0" xfId="0" applyAlignment="1" applyFont="1">
      <alignment horizontal="right" shrinkToFit="0" wrapText="0"/>
    </xf>
    <xf borderId="0" fillId="0" fontId="19" numFmtId="164" xfId="0" applyAlignment="1" applyFont="1" applyNumberFormat="1">
      <alignment horizontal="left" shrinkToFit="0" wrapText="0"/>
    </xf>
    <xf borderId="1" fillId="4" fontId="13" numFmtId="0" xfId="0" applyAlignment="1" applyBorder="1" applyFont="1">
      <alignment shrinkToFit="0" wrapText="0"/>
    </xf>
    <xf borderId="0" fillId="0" fontId="13" numFmtId="165" xfId="0" applyAlignment="1" applyFont="1" applyNumberFormat="1">
      <alignment shrinkToFit="0" wrapText="0"/>
    </xf>
    <xf borderId="0" fillId="0" fontId="4" numFmtId="0" xfId="0" applyAlignment="1" applyFont="1">
      <alignment horizontal="left" shrinkToFit="0" wrapText="0"/>
    </xf>
    <xf borderId="0" fillId="0" fontId="13" numFmtId="165" xfId="0" applyAlignment="1" applyFont="1" applyNumberFormat="1">
      <alignment horizontal="left" shrinkToFit="0" wrapText="0"/>
    </xf>
    <xf borderId="0" fillId="0" fontId="13" numFmtId="166" xfId="0" applyAlignment="1" applyFont="1" applyNumberFormat="1">
      <alignment shrinkToFit="0" wrapText="0"/>
    </xf>
    <xf borderId="0" fillId="0" fontId="20" numFmtId="164" xfId="0" applyAlignment="1" applyFont="1" applyNumberFormat="1">
      <alignment shrinkToFit="0" wrapText="0"/>
    </xf>
    <xf borderId="0" fillId="0" fontId="0" numFmtId="0" xfId="0" applyAlignment="1" applyFont="1">
      <alignment shrinkToFit="0" wrapText="0"/>
    </xf>
    <xf borderId="0" fillId="0" fontId="6" numFmtId="164" xfId="0" applyAlignment="1" applyFont="1" applyNumberFormat="1">
      <alignment shrinkToFit="0" wrapText="0"/>
    </xf>
    <xf borderId="0" fillId="0" fontId="6" numFmtId="14" xfId="0" applyAlignment="1" applyFont="1" applyNumberFormat="1">
      <alignment shrinkToFit="0" wrapText="0"/>
    </xf>
    <xf borderId="0" fillId="0" fontId="21" numFmtId="165" xfId="0" applyAlignment="1" applyFont="1" applyNumberFormat="1">
      <alignment shrinkToFit="0" wrapText="0"/>
    </xf>
    <xf borderId="1" fillId="6" fontId="6" numFmtId="0" xfId="0" applyAlignment="1" applyBorder="1" applyFont="1">
      <alignment shrinkToFit="0" wrapText="0"/>
    </xf>
    <xf borderId="0" fillId="0" fontId="13" numFmtId="0" xfId="0" applyAlignment="1" applyFont="1">
      <alignment horizontal="left" shrinkToFit="0" wrapText="1"/>
    </xf>
    <xf borderId="2" fillId="0" fontId="1" numFmtId="0" xfId="0" applyAlignment="1" applyBorder="1" applyFont="1">
      <alignment shrinkToFit="0" wrapText="0"/>
    </xf>
    <xf borderId="2" fillId="0" fontId="22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shrinkToFit="0" wrapText="0"/>
    </xf>
    <xf borderId="3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1" fillId="3" fontId="6" numFmtId="0" xfId="0" applyAlignment="1" applyBorder="1" applyFont="1">
      <alignment shrinkToFit="0" wrapText="0"/>
    </xf>
    <xf borderId="1" fillId="3" fontId="23" numFmtId="0" xfId="0" applyAlignment="1" applyBorder="1" applyFont="1">
      <alignment shrinkToFit="0" wrapText="0"/>
    </xf>
    <xf borderId="1" fillId="3" fontId="6" numFmtId="0" xfId="0" applyAlignment="1" applyBorder="1" applyFont="1">
      <alignment horizontal="center" shrinkToFit="0" vertical="top" wrapText="1"/>
    </xf>
    <xf borderId="1" fillId="3" fontId="6" numFmtId="14" xfId="0" applyAlignment="1" applyBorder="1" applyFont="1" applyNumberFormat="1">
      <alignment shrinkToFit="0" wrapText="0"/>
    </xf>
    <xf borderId="1" fillId="3" fontId="6" numFmtId="165" xfId="0" applyAlignment="1" applyBorder="1" applyFont="1" applyNumberFormat="1">
      <alignment shrinkToFit="0" wrapText="0"/>
    </xf>
    <xf borderId="1" fillId="3" fontId="6" numFmtId="0" xfId="0" applyAlignment="1" applyBorder="1" applyFont="1">
      <alignment horizontal="right" shrinkToFit="0" wrapText="0"/>
    </xf>
    <xf borderId="1" fillId="3" fontId="6" numFmtId="167" xfId="0" applyAlignment="1" applyBorder="1" applyFont="1" applyNumberFormat="1">
      <alignment shrinkToFit="0" wrapText="0"/>
    </xf>
    <xf borderId="1" fillId="7" fontId="13" numFmtId="0" xfId="0" applyAlignment="1" applyBorder="1" applyFill="1" applyFont="1">
      <alignment shrinkToFit="0" wrapText="0"/>
    </xf>
    <xf borderId="1" fillId="3" fontId="6" numFmtId="0" xfId="0" applyAlignment="1" applyBorder="1" applyFont="1">
      <alignment shrinkToFit="0" vertical="top" wrapText="1"/>
    </xf>
    <xf borderId="1" fillId="3" fontId="0" numFmtId="0" xfId="0" applyAlignment="1" applyBorder="1" applyFont="1">
      <alignment shrinkToFit="0" wrapText="0"/>
    </xf>
    <xf borderId="1" fillId="3" fontId="0" numFmtId="0" xfId="0" applyAlignment="1" applyBorder="1" applyFont="1">
      <alignment readingOrder="0" shrinkToFit="0" wrapText="0"/>
    </xf>
    <xf borderId="1" fillId="3" fontId="13" numFmtId="0" xfId="0" applyAlignment="1" applyBorder="1" applyFont="1">
      <alignment shrinkToFit="0" wrapText="1"/>
    </xf>
    <xf borderId="1" fillId="3" fontId="13" numFmtId="165" xfId="0" applyAlignment="1" applyBorder="1" applyFont="1" applyNumberFormat="1">
      <alignment shrinkToFit="0" wrapText="0"/>
    </xf>
    <xf borderId="1" fillId="3" fontId="13" numFmtId="0" xfId="0" applyAlignment="1" applyBorder="1" applyFont="1">
      <alignment horizontal="left" shrinkToFit="0" wrapText="0"/>
    </xf>
    <xf borderId="1" fillId="3" fontId="13" numFmtId="0" xfId="0" applyAlignment="1" applyBorder="1" applyFont="1">
      <alignment shrinkToFit="0" wrapText="0"/>
    </xf>
    <xf borderId="1" fillId="3" fontId="24" numFmtId="164" xfId="0" applyAlignment="1" applyBorder="1" applyFont="1" applyNumberFormat="1">
      <alignment shrinkToFit="0" wrapText="0"/>
    </xf>
    <xf borderId="1" fillId="3" fontId="0" numFmtId="14" xfId="0" applyAlignment="1" applyBorder="1" applyFont="1" applyNumberFormat="1">
      <alignment shrinkToFit="0" wrapText="0"/>
    </xf>
    <xf borderId="1" fillId="3" fontId="0" numFmtId="165" xfId="0" applyAlignment="1" applyBorder="1" applyFont="1" applyNumberFormat="1">
      <alignment shrinkToFit="0" wrapText="0"/>
    </xf>
    <xf borderId="1" fillId="3" fontId="25" numFmtId="0" xfId="0" applyAlignment="1" applyBorder="1" applyFont="1">
      <alignment horizontal="right" shrinkToFit="0" wrapText="0"/>
    </xf>
    <xf borderId="1" fillId="3" fontId="0" numFmtId="0" xfId="0" applyAlignment="1" applyBorder="1" applyFont="1">
      <alignment shrinkToFit="0" vertical="top" wrapText="1"/>
    </xf>
    <xf borderId="1" fillId="3" fontId="26" numFmtId="0" xfId="0" applyAlignment="1" applyBorder="1" applyFont="1">
      <alignment shrinkToFit="0" wrapText="0"/>
    </xf>
    <xf borderId="1" fillId="3" fontId="27" numFmtId="0" xfId="0" applyAlignment="1" applyBorder="1" applyFont="1">
      <alignment shrinkToFit="0" wrapText="0"/>
    </xf>
    <xf borderId="1" fillId="3" fontId="28" numFmtId="0" xfId="0" applyAlignment="1" applyBorder="1" applyFont="1">
      <alignment shrinkToFit="0" wrapText="0"/>
    </xf>
    <xf borderId="1" fillId="3" fontId="29" numFmtId="0" xfId="0" applyAlignment="1" applyBorder="1" applyFont="1">
      <alignment shrinkToFit="0" wrapText="1"/>
    </xf>
    <xf borderId="1" fillId="8" fontId="13" numFmtId="0" xfId="0" applyAlignment="1" applyBorder="1" applyFill="1" applyFont="1">
      <alignment shrinkToFit="0" wrapText="0"/>
    </xf>
    <xf borderId="1" fillId="3" fontId="30" numFmtId="14" xfId="0" applyAlignment="1" applyBorder="1" applyFont="1" applyNumberFormat="1">
      <alignment shrinkToFit="0" wrapText="0"/>
    </xf>
    <xf borderId="1" fillId="3" fontId="13" numFmtId="14" xfId="0" applyAlignment="1" applyBorder="1" applyFont="1" applyNumberFormat="1">
      <alignment shrinkToFit="0" wrapText="0"/>
    </xf>
    <xf borderId="1" fillId="3" fontId="31" numFmtId="14" xfId="0" applyAlignment="1" applyBorder="1" applyFont="1" applyNumberFormat="1">
      <alignment shrinkToFit="0" wrapText="0"/>
    </xf>
    <xf borderId="1" fillId="3" fontId="32" numFmtId="0" xfId="0" applyAlignment="1" applyBorder="1" applyFont="1">
      <alignment horizontal="right" shrinkToFit="0" wrapText="0"/>
    </xf>
    <xf borderId="1" fillId="3" fontId="33" numFmtId="164" xfId="0" applyAlignment="1" applyBorder="1" applyFont="1" applyNumberFormat="1">
      <alignment shrinkToFit="0" wrapText="0"/>
    </xf>
    <xf borderId="1" fillId="4" fontId="29" numFmtId="0" xfId="0" applyAlignment="1" applyBorder="1" applyFont="1">
      <alignment shrinkToFit="0" wrapText="1"/>
    </xf>
    <xf borderId="1" fillId="3" fontId="34" numFmtId="164" xfId="0" applyAlignment="1" applyBorder="1" applyFont="1" applyNumberFormat="1">
      <alignment shrinkToFit="0" wrapText="0"/>
    </xf>
    <xf borderId="1" fillId="3" fontId="35" numFmtId="165" xfId="0" applyAlignment="1" applyBorder="1" applyFont="1" applyNumberFormat="1">
      <alignment shrinkToFit="0" wrapText="0"/>
    </xf>
    <xf borderId="1" fillId="3" fontId="36" numFmtId="164" xfId="0" applyAlignment="1" applyBorder="1" applyFont="1" applyNumberFormat="1">
      <alignment horizontal="right" shrinkToFit="0" wrapText="0"/>
    </xf>
    <xf borderId="1" fillId="3" fontId="35" numFmtId="0" xfId="0" applyAlignment="1" applyBorder="1" applyFont="1">
      <alignment shrinkToFit="0" wrapText="0"/>
    </xf>
    <xf borderId="1" fillId="3" fontId="37" numFmtId="164" xfId="0" applyAlignment="1" applyBorder="1" applyFont="1" applyNumberFormat="1">
      <alignment shrinkToFit="0" wrapText="0"/>
    </xf>
    <xf borderId="1" fillId="3" fontId="38" numFmtId="0" xfId="0" applyAlignment="1" applyBorder="1" applyFont="1">
      <alignment shrinkToFit="0" wrapText="0"/>
    </xf>
    <xf borderId="1" fillId="3" fontId="39" numFmtId="0" xfId="0" applyAlignment="1" applyBorder="1" applyFont="1">
      <alignment shrinkToFit="0" wrapText="0"/>
    </xf>
    <xf borderId="1" fillId="3" fontId="39" numFmtId="165" xfId="0" applyAlignment="1" applyBorder="1" applyFont="1" applyNumberFormat="1">
      <alignment shrinkToFit="0" wrapText="0"/>
    </xf>
    <xf borderId="1" fillId="3" fontId="40" numFmtId="0" xfId="0" applyAlignment="1" applyBorder="1" applyFont="1">
      <alignment shrinkToFit="0" wrapText="0"/>
    </xf>
    <xf borderId="1" fillId="3" fontId="41" numFmtId="0" xfId="0" applyAlignment="1" applyBorder="1" applyFont="1">
      <alignment horizontal="right" shrinkToFit="0" wrapText="0"/>
    </xf>
    <xf borderId="1" fillId="3" fontId="42" numFmtId="164" xfId="0" applyAlignment="1" applyBorder="1" applyFont="1" applyNumberFormat="1">
      <alignment shrinkToFit="0" wrapText="0"/>
    </xf>
    <xf borderId="1" fillId="3" fontId="39" numFmtId="0" xfId="0" applyAlignment="1" applyBorder="1" applyFont="1">
      <alignment shrinkToFit="0" wrapText="1"/>
    </xf>
    <xf borderId="1" fillId="3" fontId="43" numFmtId="0" xfId="0" applyAlignment="1" applyBorder="1" applyFont="1">
      <alignment shrinkToFit="0" wrapText="0"/>
    </xf>
    <xf borderId="1" fillId="3" fontId="43" numFmtId="14" xfId="0" applyAlignment="1" applyBorder="1" applyFont="1" applyNumberFormat="1">
      <alignment shrinkToFit="0" wrapText="0"/>
    </xf>
    <xf borderId="1" fillId="3" fontId="43" numFmtId="165" xfId="0" applyAlignment="1" applyBorder="1" applyFont="1" applyNumberFormat="1">
      <alignment shrinkToFit="0" wrapText="0"/>
    </xf>
    <xf borderId="1" fillId="3" fontId="44" numFmtId="14" xfId="0" applyAlignment="1" applyBorder="1" applyFont="1" applyNumberFormat="1">
      <alignment shrinkToFit="0" wrapText="0"/>
    </xf>
    <xf borderId="1" fillId="3" fontId="45" numFmtId="0" xfId="0" applyAlignment="1" applyBorder="1" applyFont="1">
      <alignment horizontal="right" shrinkToFit="0" wrapText="0"/>
    </xf>
    <xf borderId="0" fillId="0" fontId="0" numFmtId="0" xfId="0" applyAlignment="1" applyFont="1">
      <alignment shrinkToFit="0" wrapText="1"/>
    </xf>
    <xf borderId="0" fillId="0" fontId="6" numFmtId="0" xfId="0" applyAlignment="1" applyFont="1">
      <alignment shrinkToFit="0" vertical="center" wrapText="0"/>
    </xf>
    <xf borderId="1" fillId="5" fontId="6" numFmtId="0" xfId="0" applyAlignment="1" applyBorder="1" applyFont="1">
      <alignment horizontal="left" shrinkToFit="0" vertical="center" wrapText="1"/>
    </xf>
    <xf borderId="1" fillId="5" fontId="23" numFmtId="0" xfId="0" applyAlignment="1" applyBorder="1" applyFont="1">
      <alignment shrinkToFit="0" vertical="center" wrapText="0"/>
    </xf>
    <xf borderId="1" fillId="5" fontId="6" numFmtId="0" xfId="0" applyAlignment="1" applyBorder="1" applyFont="1">
      <alignment shrinkToFit="0" vertical="center" wrapText="0"/>
    </xf>
    <xf borderId="1" fillId="5" fontId="6" numFmtId="0" xfId="0" applyAlignment="1" applyBorder="1" applyFont="1">
      <alignment shrinkToFit="0" vertical="center" wrapText="1"/>
    </xf>
    <xf borderId="1" fillId="5" fontId="6" numFmtId="165" xfId="0" applyAlignment="1" applyBorder="1" applyFont="1" applyNumberFormat="1">
      <alignment shrinkToFit="0" vertical="center" wrapText="0"/>
    </xf>
    <xf borderId="1" fillId="5" fontId="6" numFmtId="0" xfId="0" applyAlignment="1" applyBorder="1" applyFont="1">
      <alignment horizontal="right" shrinkToFit="0" vertical="center" wrapText="0"/>
    </xf>
    <xf borderId="1" fillId="5" fontId="6" numFmtId="167" xfId="0" applyAlignment="1" applyBorder="1" applyFont="1" applyNumberFormat="1">
      <alignment horizontal="right" shrinkToFit="0" vertical="center" wrapText="0"/>
    </xf>
    <xf borderId="1" fillId="7" fontId="6" numFmtId="0" xfId="0" applyAlignment="1" applyBorder="1" applyFont="1">
      <alignment shrinkToFit="0" vertical="center" wrapText="0"/>
    </xf>
    <xf borderId="0" fillId="0" fontId="0" numFmtId="0" xfId="0" applyAlignment="1" applyFont="1">
      <alignment readingOrder="0" shrinkToFit="0" wrapText="0"/>
    </xf>
    <xf borderId="1" fillId="5" fontId="0" numFmtId="0" xfId="0" applyAlignment="1" applyBorder="1" applyFont="1">
      <alignment shrinkToFit="0" wrapText="0"/>
    </xf>
    <xf borderId="1" fillId="5" fontId="13" numFmtId="0" xfId="0" applyAlignment="1" applyBorder="1" applyFont="1">
      <alignment shrinkToFit="0" wrapText="1"/>
    </xf>
    <xf borderId="1" fillId="5" fontId="13" numFmtId="165" xfId="0" applyAlignment="1" applyBorder="1" applyFont="1" applyNumberFormat="1">
      <alignment shrinkToFit="0" wrapText="0"/>
    </xf>
    <xf borderId="0" fillId="0" fontId="28" numFmtId="0" xfId="0" applyAlignment="1" applyFont="1">
      <alignment shrinkToFit="0" vertical="center" wrapText="0"/>
    </xf>
    <xf borderId="1" fillId="5" fontId="6" numFmtId="0" xfId="0" applyAlignment="1" applyBorder="1" applyFont="1">
      <alignment shrinkToFit="0" wrapText="0"/>
    </xf>
    <xf borderId="1" fillId="5" fontId="13" numFmtId="0" xfId="0" applyAlignment="1" applyBorder="1" applyFont="1">
      <alignment horizontal="left" shrinkToFit="0" wrapText="0"/>
    </xf>
    <xf borderId="1" fillId="5" fontId="13" numFmtId="0" xfId="0" applyAlignment="1" applyBorder="1" applyFont="1">
      <alignment shrinkToFit="0" wrapText="0"/>
    </xf>
    <xf borderId="1" fillId="5" fontId="46" numFmtId="164" xfId="0" applyAlignment="1" applyBorder="1" applyFont="1" applyNumberFormat="1">
      <alignment shrinkToFit="0" wrapText="0"/>
    </xf>
    <xf borderId="1" fillId="5" fontId="47" numFmtId="0" xfId="0" applyAlignment="1" applyBorder="1" applyFont="1">
      <alignment shrinkToFit="0" wrapText="0"/>
    </xf>
    <xf borderId="1" fillId="5" fontId="48" numFmtId="14" xfId="0" applyAlignment="1" applyBorder="1" applyFont="1" applyNumberFormat="1">
      <alignment shrinkToFit="0" wrapText="0"/>
    </xf>
    <xf borderId="1" fillId="5" fontId="0" numFmtId="165" xfId="0" applyAlignment="1" applyBorder="1" applyFont="1" applyNumberFormat="1">
      <alignment shrinkToFit="0" wrapText="0"/>
    </xf>
    <xf borderId="1" fillId="5" fontId="49" numFmtId="0" xfId="0" applyAlignment="1" applyBorder="1" applyFont="1">
      <alignment horizontal="right" shrinkToFit="0" wrapText="0"/>
    </xf>
    <xf borderId="1" fillId="5" fontId="0" numFmtId="0" xfId="0" applyAlignment="1" applyBorder="1" applyFont="1">
      <alignment shrinkToFit="0" vertical="top" wrapText="1"/>
    </xf>
    <xf borderId="1" fillId="5" fontId="6" numFmtId="0" xfId="0" applyAlignment="1" applyBorder="1" applyFont="1">
      <alignment horizontal="left" shrinkToFit="0" vertical="center" wrapText="0"/>
    </xf>
    <xf borderId="1" fillId="5" fontId="27" numFmtId="0" xfId="0" applyAlignment="1" applyBorder="1" applyFont="1">
      <alignment shrinkToFit="0" vertical="center" wrapText="0"/>
    </xf>
    <xf borderId="1" fillId="5" fontId="28" numFmtId="0" xfId="0" applyAlignment="1" applyBorder="1" applyFont="1">
      <alignment shrinkToFit="0" vertical="center" wrapText="0"/>
    </xf>
    <xf borderId="1" fillId="5" fontId="50" numFmtId="0" xfId="0" applyAlignment="1" applyBorder="1" applyFont="1">
      <alignment shrinkToFit="0" vertical="center" wrapText="0"/>
    </xf>
    <xf borderId="1" fillId="5" fontId="28" numFmtId="0" xfId="0" applyAlignment="1" applyBorder="1" applyFont="1">
      <alignment shrinkToFit="0" vertical="center" wrapText="1"/>
    </xf>
    <xf borderId="1" fillId="5" fontId="51" numFmtId="14" xfId="0" applyAlignment="1" applyBorder="1" applyFont="1" applyNumberFormat="1">
      <alignment shrinkToFit="0" wrapText="0"/>
    </xf>
    <xf borderId="1" fillId="5" fontId="29" numFmtId="0" xfId="0" applyAlignment="1" applyBorder="1" applyFont="1">
      <alignment shrinkToFit="0" vertical="center" wrapText="0"/>
    </xf>
    <xf borderId="1" fillId="5" fontId="52" numFmtId="0" xfId="0" applyAlignment="1" applyBorder="1" applyFont="1">
      <alignment shrinkToFit="0" vertical="center" wrapText="0"/>
    </xf>
    <xf borderId="1" fillId="5" fontId="29" numFmtId="165" xfId="0" applyAlignment="1" applyBorder="1" applyFont="1" applyNumberFormat="1">
      <alignment shrinkToFit="0" vertical="center" wrapText="0"/>
    </xf>
    <xf borderId="1" fillId="5" fontId="53" numFmtId="0" xfId="0" applyAlignment="1" applyBorder="1" applyFont="1">
      <alignment horizontal="right" shrinkToFit="0" vertical="center" wrapText="0"/>
    </xf>
    <xf borderId="1" fillId="5" fontId="54" numFmtId="164" xfId="0" applyAlignment="1" applyBorder="1" applyFont="1" applyNumberFormat="1">
      <alignment shrinkToFit="0" vertical="center" wrapText="0"/>
    </xf>
    <xf borderId="1" fillId="5" fontId="29" numFmtId="0" xfId="0" applyAlignment="1" applyBorder="1" applyFont="1">
      <alignment shrinkToFit="0" vertical="center" wrapText="1"/>
    </xf>
    <xf borderId="1" fillId="5" fontId="55" numFmtId="14" xfId="0" applyAlignment="1" applyBorder="1" applyFont="1" applyNumberFormat="1">
      <alignment shrinkToFit="0" vertical="center" wrapText="0"/>
    </xf>
    <xf borderId="1" fillId="5" fontId="13" numFmtId="0" xfId="0" applyAlignment="1" applyBorder="1" applyFont="1">
      <alignment horizontal="left" shrinkToFit="0" vertical="center" wrapText="0"/>
    </xf>
    <xf borderId="1" fillId="5" fontId="4" numFmtId="0" xfId="0" applyAlignment="1" applyBorder="1" applyFont="1">
      <alignment shrinkToFit="0" vertical="center" wrapText="0"/>
    </xf>
    <xf borderId="1" fillId="5" fontId="13" numFmtId="0" xfId="0" applyAlignment="1" applyBorder="1" applyFont="1">
      <alignment shrinkToFit="0" vertical="center" wrapText="0"/>
    </xf>
    <xf borderId="1" fillId="5" fontId="56" numFmtId="0" xfId="0" applyAlignment="1" applyBorder="1" applyFont="1">
      <alignment shrinkToFit="0" vertical="center" wrapText="0"/>
    </xf>
    <xf borderId="1" fillId="5" fontId="57" numFmtId="14" xfId="0" applyAlignment="1" applyBorder="1" applyFont="1" applyNumberFormat="1">
      <alignment shrinkToFit="0" vertical="center" wrapText="0"/>
    </xf>
    <xf borderId="1" fillId="5" fontId="13" numFmtId="165" xfId="0" applyAlignment="1" applyBorder="1" applyFont="1" applyNumberFormat="1">
      <alignment shrinkToFit="0" vertical="center" wrapText="0"/>
    </xf>
    <xf borderId="1" fillId="5" fontId="13" numFmtId="0" xfId="0" applyAlignment="1" applyBorder="1" applyFont="1">
      <alignment horizontal="right" shrinkToFit="0" vertical="center" wrapText="0"/>
    </xf>
    <xf borderId="1" fillId="5" fontId="13" numFmtId="167" xfId="0" applyAlignment="1" applyBorder="1" applyFont="1" applyNumberFormat="1">
      <alignment shrinkToFit="0" vertical="center" wrapText="0"/>
    </xf>
    <xf borderId="1" fillId="5" fontId="13" numFmtId="0" xfId="0" applyAlignment="1" applyBorder="1" applyFont="1">
      <alignment shrinkToFit="0" vertical="center" wrapText="1"/>
    </xf>
    <xf borderId="1" fillId="5" fontId="21" numFmtId="165" xfId="0" applyAlignment="1" applyBorder="1" applyFont="1" applyNumberFormat="1">
      <alignment shrinkToFit="0" vertical="center" wrapText="0"/>
    </xf>
    <xf borderId="0" fillId="0" fontId="28" numFmtId="0" xfId="0" applyAlignment="1" applyFont="1">
      <alignment shrinkToFit="0" wrapText="0"/>
    </xf>
    <xf borderId="1" fillId="5" fontId="27" numFmtId="0" xfId="0" applyAlignment="1" applyBorder="1" applyFont="1">
      <alignment shrinkToFit="0" wrapText="0"/>
    </xf>
    <xf borderId="1" fillId="5" fontId="28" numFmtId="0" xfId="0" applyAlignment="1" applyBorder="1" applyFont="1">
      <alignment shrinkToFit="0" wrapText="0"/>
    </xf>
    <xf borderId="1" fillId="5" fontId="58" numFmtId="0" xfId="0" applyAlignment="1" applyBorder="1" applyFont="1">
      <alignment shrinkToFit="0" wrapText="0"/>
    </xf>
    <xf borderId="1" fillId="5" fontId="28" numFmtId="0" xfId="0" applyAlignment="1" applyBorder="1" applyFont="1">
      <alignment shrinkToFit="0" wrapText="1"/>
    </xf>
    <xf borderId="1" fillId="5" fontId="6" numFmtId="165" xfId="0" applyAlignment="1" applyBorder="1" applyFont="1" applyNumberFormat="1">
      <alignment shrinkToFit="0" wrapText="0"/>
    </xf>
    <xf borderId="1" fillId="5" fontId="59" numFmtId="0" xfId="0" applyAlignment="1" applyBorder="1" applyFont="1">
      <alignment horizontal="right" shrinkToFit="0" wrapText="0"/>
    </xf>
    <xf borderId="1" fillId="5" fontId="60" numFmtId="164" xfId="0" applyAlignment="1" applyBorder="1" applyFont="1" applyNumberFormat="1">
      <alignment shrinkToFit="0" wrapText="0"/>
    </xf>
    <xf borderId="1" fillId="4" fontId="28" numFmtId="0" xfId="0" applyAlignment="1" applyBorder="1" applyFont="1">
      <alignment shrinkToFit="0" wrapText="0"/>
    </xf>
    <xf borderId="1" fillId="5" fontId="61" numFmtId="0" xfId="0" applyAlignment="1" applyBorder="1" applyFont="1">
      <alignment horizontal="right" shrinkToFit="0" wrapText="0"/>
    </xf>
    <xf borderId="1" fillId="5" fontId="62" numFmtId="0" xfId="0" applyAlignment="1" applyBorder="1" applyFont="1">
      <alignment shrinkToFit="0" wrapText="0"/>
    </xf>
    <xf borderId="1" fillId="5" fontId="63" numFmtId="0" xfId="0" applyAlignment="1" applyBorder="1" applyFont="1">
      <alignment shrinkToFit="0" vertical="center" wrapText="0"/>
    </xf>
    <xf borderId="1" fillId="5" fontId="64" numFmtId="0" xfId="0" applyAlignment="1" applyBorder="1" applyFont="1">
      <alignment shrinkToFit="0" vertical="center" wrapText="0"/>
    </xf>
    <xf borderId="1" fillId="5" fontId="65" numFmtId="0" xfId="0" applyAlignment="1" applyBorder="1" applyFont="1">
      <alignment shrinkToFit="0" vertical="center" wrapText="0"/>
    </xf>
    <xf borderId="1" fillId="5" fontId="43" numFmtId="164" xfId="0" applyAlignment="1" applyBorder="1" applyFont="1" applyNumberFormat="1">
      <alignment shrinkToFit="0" vertical="center" wrapText="0"/>
    </xf>
    <xf borderId="1" fillId="5" fontId="43" numFmtId="14" xfId="0" applyAlignment="1" applyBorder="1" applyFont="1" applyNumberFormat="1">
      <alignment shrinkToFit="0" vertical="center" wrapText="0"/>
    </xf>
    <xf borderId="1" fillId="5" fontId="40" numFmtId="0" xfId="0" applyAlignment="1" applyBorder="1" applyFont="1">
      <alignment shrinkToFit="0" vertical="center" wrapText="0"/>
    </xf>
    <xf borderId="1" fillId="5" fontId="43" numFmtId="165" xfId="0" applyAlignment="1" applyBorder="1" applyFont="1" applyNumberFormat="1">
      <alignment shrinkToFit="0" vertical="center" wrapText="0"/>
    </xf>
    <xf borderId="1" fillId="4" fontId="28" numFmtId="0" xfId="0" applyAlignment="1" applyBorder="1" applyFont="1">
      <alignment shrinkToFit="0" vertical="center" wrapText="0"/>
    </xf>
    <xf borderId="0" fillId="0" fontId="23" numFmtId="0" xfId="0" applyAlignment="1" applyFont="1">
      <alignment shrinkToFit="0" wrapText="1"/>
    </xf>
    <xf borderId="0" fillId="0" fontId="6" numFmtId="165" xfId="0" applyAlignment="1" applyFont="1" applyNumberFormat="1">
      <alignment shrinkToFit="0" wrapText="1"/>
    </xf>
    <xf borderId="0" fillId="0" fontId="6" numFmtId="0" xfId="0" applyAlignment="1" applyFont="1">
      <alignment horizontal="right" shrinkToFit="0" wrapText="1"/>
    </xf>
    <xf borderId="0" fillId="0" fontId="6" numFmtId="0" xfId="0" applyAlignment="1" applyFont="1">
      <alignment readingOrder="0" shrinkToFit="0" wrapText="1"/>
    </xf>
    <xf borderId="0" fillId="0" fontId="0" numFmtId="165" xfId="0" applyAlignment="1" applyFont="1" applyNumberFormat="1">
      <alignment shrinkToFit="0" wrapText="0"/>
    </xf>
    <xf borderId="0" fillId="0" fontId="13" numFmtId="0" xfId="0" applyAlignment="1" applyFont="1">
      <alignment shrinkToFit="0" wrapText="1"/>
    </xf>
    <xf borderId="0" fillId="0" fontId="66" numFmtId="14" xfId="0" applyAlignment="1" applyFont="1" applyNumberFormat="1">
      <alignment shrinkToFit="0" wrapText="0"/>
    </xf>
    <xf borderId="0" fillId="0" fontId="67" numFmtId="0" xfId="0" applyAlignment="1" applyFont="1">
      <alignment shrinkToFit="0" wrapText="0"/>
    </xf>
    <xf borderId="0" fillId="0" fontId="68" numFmtId="0" xfId="0" applyAlignment="1" applyFont="1">
      <alignment horizontal="left" shrinkToFit="0" wrapText="0"/>
    </xf>
    <xf borderId="0" fillId="0" fontId="0" numFmtId="10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33.43"/>
    <col customWidth="1" min="2" max="2" width="13.0"/>
    <col customWidth="1" min="3" max="3" width="16.86"/>
    <col customWidth="1" min="4" max="4" width="16.29"/>
    <col customWidth="1" min="5" max="5" width="11.29"/>
    <col customWidth="1" min="6" max="6" width="7.29"/>
    <col customWidth="1" min="7" max="8" width="15.0"/>
    <col customWidth="1" min="9" max="10" width="16.29"/>
    <col customWidth="1" hidden="1" min="11" max="11" width="20.0"/>
    <col customWidth="1" min="12" max="13" width="19.29"/>
    <col customWidth="1" min="14" max="14" width="7.0"/>
    <col customWidth="1" min="15" max="15" width="12.0"/>
    <col customWidth="1" min="16" max="16" width="11.14"/>
    <col customWidth="1" min="17" max="17" width="21.14"/>
    <col customWidth="1" min="18" max="18" width="11.29"/>
    <col customWidth="1" min="19" max="19" width="18.43"/>
  </cols>
  <sheetData>
    <row r="1" ht="36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30.0" customHeight="1">
      <c r="A2" s="4" t="s">
        <v>19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30.0" customHeight="1">
      <c r="A3" s="7" t="s">
        <v>20</v>
      </c>
      <c r="B3" s="8" t="s">
        <v>21</v>
      </c>
      <c r="C3" s="9" t="s">
        <v>22</v>
      </c>
      <c r="D3" s="9" t="s">
        <v>23</v>
      </c>
      <c r="E3" s="10">
        <v>10.0</v>
      </c>
      <c r="F3" s="10">
        <v>12.0</v>
      </c>
      <c r="G3" s="11">
        <v>41940.0</v>
      </c>
      <c r="H3" s="11">
        <v>42304.0</v>
      </c>
      <c r="I3" s="12">
        <v>125.0</v>
      </c>
      <c r="J3" s="12">
        <v>125.0</v>
      </c>
      <c r="K3" s="12"/>
      <c r="L3" s="12">
        <f>J3*E3*F3</f>
        <v>15000</v>
      </c>
      <c r="M3" s="12"/>
      <c r="N3" s="13" t="s">
        <v>24</v>
      </c>
      <c r="O3" s="10">
        <v>10.0</v>
      </c>
      <c r="P3" s="14"/>
      <c r="Q3" s="12">
        <f>L3*(1-O3/100)</f>
        <v>13500</v>
      </c>
      <c r="R3" s="9"/>
      <c r="S3" s="15">
        <f>Q3</f>
        <v>13500</v>
      </c>
    </row>
    <row r="4" ht="30.75" customHeight="1">
      <c r="A4" s="16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ht="30.0" customHeight="1">
      <c r="A5" s="19" t="s">
        <v>25</v>
      </c>
      <c r="B5" s="20" t="s">
        <v>21</v>
      </c>
      <c r="C5" s="21" t="s">
        <v>22</v>
      </c>
      <c r="D5" s="21" t="s">
        <v>23</v>
      </c>
      <c r="E5" s="22">
        <v>10.0</v>
      </c>
      <c r="F5" s="22">
        <v>12.0</v>
      </c>
      <c r="G5" s="23">
        <v>41940.0</v>
      </c>
      <c r="H5" s="23">
        <v>42304.0</v>
      </c>
      <c r="I5" s="24">
        <v>135.0</v>
      </c>
      <c r="J5" s="24">
        <v>135.0</v>
      </c>
      <c r="K5" s="24"/>
      <c r="L5" s="24">
        <f>J5*E5*F5</f>
        <v>16200</v>
      </c>
      <c r="M5" s="24"/>
      <c r="N5" s="25" t="s">
        <v>24</v>
      </c>
      <c r="O5" s="22">
        <v>20.0</v>
      </c>
      <c r="P5" s="26"/>
      <c r="Q5" s="24">
        <f>L5*(1-O5/100)</f>
        <v>12960</v>
      </c>
      <c r="R5" s="27" t="s">
        <v>26</v>
      </c>
      <c r="S5" s="28">
        <f>Q5</f>
        <v>12960</v>
      </c>
    </row>
    <row r="6" ht="25.5" customHeight="1">
      <c r="A6" s="16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ht="40.5" customHeight="1">
      <c r="A7" s="29" t="s">
        <v>27</v>
      </c>
      <c r="B7" s="17" t="s">
        <v>21</v>
      </c>
      <c r="C7" s="30" t="s">
        <v>22</v>
      </c>
      <c r="D7" s="30" t="s">
        <v>23</v>
      </c>
      <c r="E7" s="31">
        <v>20.0</v>
      </c>
      <c r="F7" s="31">
        <v>12.0</v>
      </c>
      <c r="G7" s="32">
        <v>41940.0</v>
      </c>
      <c r="H7" s="32">
        <v>42304.0</v>
      </c>
      <c r="I7" s="33"/>
      <c r="J7" s="33"/>
      <c r="K7" s="33">
        <f>L13+L14</f>
        <v>24000</v>
      </c>
      <c r="L7" s="33"/>
      <c r="M7" s="33">
        <f>L10+L13+L14</f>
        <v>56400</v>
      </c>
      <c r="N7" s="30" t="s">
        <v>24</v>
      </c>
      <c r="O7" s="34">
        <f>(M7-S7)*100/M7</f>
        <v>29.70212766</v>
      </c>
      <c r="P7" s="35"/>
      <c r="Q7" s="33"/>
      <c r="R7" s="36" t="s">
        <v>26</v>
      </c>
      <c r="S7" s="37">
        <f>S16</f>
        <v>39648</v>
      </c>
    </row>
    <row r="8" ht="29.25" customHeight="1">
      <c r="A8" s="38" t="s">
        <v>28</v>
      </c>
      <c r="B8" s="17"/>
      <c r="C8" s="39"/>
      <c r="D8" s="40"/>
      <c r="E8" s="41"/>
      <c r="F8" s="41"/>
      <c r="G8" s="42"/>
      <c r="H8" s="42"/>
      <c r="I8" s="43"/>
      <c r="J8" s="43"/>
      <c r="K8" s="43"/>
      <c r="L8" s="43"/>
      <c r="M8" s="43"/>
      <c r="N8" s="44"/>
      <c r="O8" s="45"/>
      <c r="P8" s="46"/>
      <c r="Q8" s="47"/>
      <c r="R8" s="48"/>
      <c r="S8" s="49"/>
    </row>
    <row r="9" ht="29.25" customHeight="1">
      <c r="A9" s="36" t="s">
        <v>29</v>
      </c>
      <c r="B9" s="17"/>
      <c r="C9" s="39"/>
      <c r="D9" s="40"/>
      <c r="E9" s="41"/>
      <c r="F9" s="41"/>
      <c r="G9" s="42"/>
      <c r="H9" s="42"/>
      <c r="I9" s="43"/>
      <c r="J9" s="43"/>
      <c r="K9" s="43"/>
      <c r="L9" s="43"/>
      <c r="M9" s="43"/>
      <c r="N9" s="44"/>
      <c r="O9" s="45"/>
      <c r="P9" s="46"/>
      <c r="Q9" s="47"/>
      <c r="R9" s="48"/>
      <c r="S9" s="49"/>
    </row>
    <row r="10" ht="29.25" customHeight="1">
      <c r="A10" s="50" t="s">
        <v>30</v>
      </c>
      <c r="B10" s="17"/>
      <c r="C10" s="51" t="s">
        <v>22</v>
      </c>
      <c r="D10" s="46" t="s">
        <v>23</v>
      </c>
      <c r="E10" s="52">
        <v>20.0</v>
      </c>
      <c r="F10" s="52">
        <v>12.0</v>
      </c>
      <c r="G10" s="53">
        <v>41940.0</v>
      </c>
      <c r="H10" s="53">
        <v>42304.0</v>
      </c>
      <c r="I10" s="54">
        <v>135.0</v>
      </c>
      <c r="J10" s="54">
        <v>135.0</v>
      </c>
      <c r="K10" s="54"/>
      <c r="L10" s="54">
        <f>E10*F10*(J10+K10)</f>
        <v>32400</v>
      </c>
      <c r="M10" s="54"/>
      <c r="N10" s="55" t="s">
        <v>24</v>
      </c>
      <c r="O10" s="56">
        <v>10.0</v>
      </c>
      <c r="P10" s="57"/>
      <c r="Q10" s="58">
        <f>L10*(1-O10/100)</f>
        <v>29160</v>
      </c>
      <c r="R10" s="48"/>
      <c r="S10" s="49">
        <f>Q10*(1-O16/100)</f>
        <v>23328</v>
      </c>
    </row>
    <row r="11" ht="40.5" customHeight="1">
      <c r="A11" s="36" t="s">
        <v>31</v>
      </c>
      <c r="B11" s="17"/>
      <c r="C11" s="39"/>
      <c r="D11" s="40"/>
      <c r="E11" s="41"/>
      <c r="F11" s="41"/>
      <c r="G11" s="42"/>
      <c r="H11" s="42"/>
      <c r="I11" s="43"/>
      <c r="J11" s="43"/>
      <c r="K11" s="43"/>
      <c r="L11" s="43"/>
      <c r="M11" s="43"/>
      <c r="N11" s="44"/>
      <c r="O11" s="45"/>
      <c r="P11" s="40"/>
      <c r="Q11" s="47"/>
      <c r="R11" s="38"/>
      <c r="S11" s="49"/>
    </row>
    <row r="12" ht="40.5" customHeight="1">
      <c r="A12" s="36" t="s">
        <v>32</v>
      </c>
      <c r="B12" s="17"/>
      <c r="C12" s="39"/>
      <c r="D12" s="40"/>
      <c r="E12" s="41"/>
      <c r="F12" s="41"/>
      <c r="G12" s="42"/>
      <c r="H12" s="42"/>
      <c r="I12" s="43"/>
      <c r="J12" s="43"/>
      <c r="K12" s="43"/>
      <c r="L12" s="43"/>
      <c r="M12" s="43"/>
      <c r="N12" s="44"/>
      <c r="O12" s="45"/>
      <c r="P12" s="40"/>
      <c r="Q12" s="47"/>
      <c r="R12" s="38"/>
      <c r="S12" s="49">
        <f>S13+S14</f>
        <v>16320</v>
      </c>
    </row>
    <row r="13" ht="30.0" customHeight="1">
      <c r="A13" s="51" t="s">
        <v>33</v>
      </c>
      <c r="B13" s="59" t="s">
        <v>21</v>
      </c>
      <c r="C13" s="51" t="s">
        <v>22</v>
      </c>
      <c r="D13" s="51" t="s">
        <v>23</v>
      </c>
      <c r="E13" s="56">
        <v>20.0</v>
      </c>
      <c r="F13" s="56">
        <v>12.0</v>
      </c>
      <c r="G13" s="53">
        <v>41940.0</v>
      </c>
      <c r="H13" s="53">
        <v>42304.0</v>
      </c>
      <c r="I13" s="60">
        <v>50.0</v>
      </c>
      <c r="J13" s="60">
        <v>50.0</v>
      </c>
      <c r="K13" s="60"/>
      <c r="L13" s="54">
        <f t="shared" ref="L13:L14" si="1">E13*F13*(J13+K13)</f>
        <v>12000</v>
      </c>
      <c r="M13" s="54"/>
      <c r="N13" s="55" t="s">
        <v>24</v>
      </c>
      <c r="O13" s="56">
        <v>10.0</v>
      </c>
      <c r="P13" s="57"/>
      <c r="Q13" s="58">
        <f t="shared" ref="Q13:Q14" si="2">L13*(1-O13/100)</f>
        <v>10800</v>
      </c>
      <c r="R13" s="46"/>
      <c r="S13" s="61">
        <f>Q13*(1-O16/100)</f>
        <v>8640</v>
      </c>
    </row>
    <row r="14" ht="30.0" customHeight="1">
      <c r="A14" s="51" t="s">
        <v>34</v>
      </c>
      <c r="B14" s="59" t="s">
        <v>21</v>
      </c>
      <c r="C14" s="51" t="s">
        <v>22</v>
      </c>
      <c r="D14" s="51" t="s">
        <v>23</v>
      </c>
      <c r="E14" s="56">
        <v>20.0</v>
      </c>
      <c r="F14" s="56">
        <v>12.0</v>
      </c>
      <c r="G14" s="53">
        <v>41940.0</v>
      </c>
      <c r="H14" s="53">
        <v>42304.0</v>
      </c>
      <c r="I14" s="60">
        <v>50.0</v>
      </c>
      <c r="J14" s="60">
        <v>50.0</v>
      </c>
      <c r="K14" s="60"/>
      <c r="L14" s="54">
        <f t="shared" si="1"/>
        <v>12000</v>
      </c>
      <c r="M14" s="54"/>
      <c r="N14" s="55" t="s">
        <v>24</v>
      </c>
      <c r="O14" s="62">
        <v>20.0</v>
      </c>
      <c r="P14" s="35"/>
      <c r="Q14" s="58">
        <f t="shared" si="2"/>
        <v>9600</v>
      </c>
      <c r="R14" s="48" t="s">
        <v>26</v>
      </c>
      <c r="S14" s="61">
        <f>Q14*(1-O16/100)</f>
        <v>7680</v>
      </c>
    </row>
    <row r="15" ht="30.0" customHeight="1">
      <c r="A15" s="38" t="s">
        <v>35</v>
      </c>
      <c r="B15" s="17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</row>
    <row r="16" ht="30.0" customHeight="1">
      <c r="A16" s="36" t="s">
        <v>36</v>
      </c>
      <c r="B16" s="17"/>
      <c r="C16" s="63"/>
      <c r="D16" s="63"/>
      <c r="E16" s="64">
        <f t="shared" ref="E16:H16" si="3">E17</f>
        <v>20</v>
      </c>
      <c r="F16" s="64">
        <f t="shared" si="3"/>
        <v>12</v>
      </c>
      <c r="G16" s="65">
        <f t="shared" si="3"/>
        <v>41940</v>
      </c>
      <c r="H16" s="65">
        <f t="shared" si="3"/>
        <v>42304</v>
      </c>
      <c r="I16" s="63"/>
      <c r="J16" s="63"/>
      <c r="K16" s="63"/>
      <c r="L16" s="63"/>
      <c r="M16" s="66"/>
      <c r="N16" s="44" t="s">
        <v>24</v>
      </c>
      <c r="O16" s="45">
        <v>20.0</v>
      </c>
      <c r="P16" s="67"/>
      <c r="Q16" s="47">
        <f>Q14+Q13+Q10</f>
        <v>49560</v>
      </c>
      <c r="R16" s="29" t="s">
        <v>26</v>
      </c>
      <c r="S16" s="49">
        <f>S17+S18+S19</f>
        <v>39648</v>
      </c>
    </row>
    <row r="17" ht="30.0" customHeight="1">
      <c r="A17" s="51" t="s">
        <v>34</v>
      </c>
      <c r="B17" s="17"/>
      <c r="C17" s="51" t="s">
        <v>22</v>
      </c>
      <c r="D17" s="46"/>
      <c r="E17" s="52">
        <v>20.0</v>
      </c>
      <c r="F17" s="52">
        <v>12.0</v>
      </c>
      <c r="G17" s="53">
        <v>41940.0</v>
      </c>
      <c r="H17" s="53">
        <v>42304.0</v>
      </c>
      <c r="I17" s="54">
        <v>50.0</v>
      </c>
      <c r="J17" s="54">
        <v>50.0</v>
      </c>
      <c r="K17" s="54"/>
      <c r="L17" s="54">
        <f t="shared" ref="L17:L18" si="5">E17*F17*(J17+K17)</f>
        <v>12000</v>
      </c>
      <c r="M17" s="54"/>
      <c r="N17" s="55" t="s">
        <v>24</v>
      </c>
      <c r="O17" s="56">
        <v>10.0</v>
      </c>
      <c r="P17" s="57"/>
      <c r="Q17" s="58">
        <f t="shared" ref="Q17:Q19" si="6">L17*(1-O17/100)</f>
        <v>10800</v>
      </c>
      <c r="R17" s="63"/>
      <c r="S17" s="61">
        <f>S10</f>
        <v>23328</v>
      </c>
    </row>
    <row r="18" ht="30.0" customHeight="1">
      <c r="A18" s="51" t="s">
        <v>33</v>
      </c>
      <c r="B18" s="17"/>
      <c r="C18" s="46" t="s">
        <v>22</v>
      </c>
      <c r="D18" s="46"/>
      <c r="E18" s="62">
        <f t="shared" ref="E18:J18" si="4">E17</f>
        <v>20</v>
      </c>
      <c r="F18" s="62">
        <f t="shared" si="4"/>
        <v>12</v>
      </c>
      <c r="G18" s="53">
        <f t="shared" si="4"/>
        <v>41940</v>
      </c>
      <c r="H18" s="53">
        <f t="shared" si="4"/>
        <v>42304</v>
      </c>
      <c r="I18" s="60">
        <f t="shared" si="4"/>
        <v>50</v>
      </c>
      <c r="J18" s="60">
        <f t="shared" si="4"/>
        <v>50</v>
      </c>
      <c r="K18" s="51"/>
      <c r="L18" s="60">
        <f t="shared" si="5"/>
        <v>12000</v>
      </c>
      <c r="M18" s="60"/>
      <c r="N18" s="55" t="s">
        <v>24</v>
      </c>
      <c r="O18" s="62">
        <v>20.0</v>
      </c>
      <c r="P18" s="35"/>
      <c r="Q18" s="58">
        <f t="shared" si="6"/>
        <v>9600</v>
      </c>
      <c r="R18" s="48" t="str">
        <f>R14</f>
        <v>Approval Required</v>
      </c>
      <c r="S18" s="61">
        <f t="shared" ref="S18:S19" si="9">S13</f>
        <v>8640</v>
      </c>
    </row>
    <row r="19" ht="30.0" customHeight="1">
      <c r="A19" s="68" t="s">
        <v>37</v>
      </c>
      <c r="B19" s="17"/>
      <c r="C19" s="46" t="str">
        <f>C18</f>
        <v>Monthly</v>
      </c>
      <c r="D19" s="46"/>
      <c r="E19" s="62">
        <f t="shared" ref="E19:H19" si="7">E18</f>
        <v>20</v>
      </c>
      <c r="F19" s="62">
        <f t="shared" si="7"/>
        <v>12</v>
      </c>
      <c r="G19" s="53">
        <f t="shared" si="7"/>
        <v>41940</v>
      </c>
      <c r="H19" s="53">
        <f t="shared" si="7"/>
        <v>42304</v>
      </c>
      <c r="I19" s="60">
        <f t="shared" ref="I19:J19" si="8">I10</f>
        <v>135</v>
      </c>
      <c r="J19" s="60">
        <f t="shared" si="8"/>
        <v>135</v>
      </c>
      <c r="K19" s="51"/>
      <c r="L19" s="60">
        <f>I19*F19*E19</f>
        <v>32400</v>
      </c>
      <c r="M19" s="51"/>
      <c r="N19" s="55" t="s">
        <v>24</v>
      </c>
      <c r="O19" s="56">
        <v>10.0</v>
      </c>
      <c r="P19" s="57"/>
      <c r="Q19" s="58">
        <f t="shared" si="6"/>
        <v>29160</v>
      </c>
      <c r="R19" s="63"/>
      <c r="S19" s="61">
        <f t="shared" si="9"/>
        <v>7680</v>
      </c>
    </row>
    <row r="20" ht="15.0" customHeight="1">
      <c r="A20" s="16"/>
      <c r="B20" s="1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39.71"/>
    <col customWidth="1" min="2" max="2" width="11.43"/>
    <col customWidth="1" min="3" max="3" width="12.86"/>
    <col customWidth="1" min="4" max="4" width="16.0"/>
    <col customWidth="1" min="5" max="5" width="10.86"/>
    <col customWidth="1" min="6" max="6" width="6.86"/>
    <col customWidth="1" min="7" max="8" width="16.0"/>
    <col customWidth="1" min="9" max="10" width="16.43"/>
    <col customWidth="1" min="11" max="11" width="20.86"/>
    <col customWidth="1" hidden="1" min="12" max="12" width="9.43"/>
    <col customWidth="1" min="13" max="13" width="21.43"/>
    <col customWidth="1" min="14" max="14" width="6.29"/>
    <col customWidth="1" min="15" max="15" width="9.43"/>
    <col customWidth="1" min="16" max="16" width="11.57"/>
    <col customWidth="1" min="17" max="17" width="21.43"/>
    <col customWidth="1" min="18" max="18" width="11.86"/>
    <col customWidth="1" min="19" max="19" width="21.43"/>
    <col customWidth="1" min="20" max="20" width="27.0"/>
    <col customWidth="1" min="21" max="21" width="9.43"/>
    <col customWidth="1" min="22" max="22" width="8.86"/>
    <col customWidth="1" min="23" max="23" width="16.0"/>
    <col customWidth="1" min="24" max="24" width="2.57"/>
    <col customWidth="1" min="25" max="25" width="8.71"/>
    <col customWidth="1" min="26" max="27" width="11.29"/>
    <col customWidth="1" min="28" max="28" width="8.71"/>
    <col customWidth="1" min="29" max="29" width="12.71"/>
  </cols>
  <sheetData>
    <row r="1" ht="36.75" customHeight="1">
      <c r="A1" s="69" t="s">
        <v>38</v>
      </c>
      <c r="B1" s="70" t="s">
        <v>1</v>
      </c>
      <c r="C1" s="71" t="s">
        <v>2</v>
      </c>
      <c r="D1" s="69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69" t="s">
        <v>8</v>
      </c>
      <c r="J1" s="69" t="s">
        <v>9</v>
      </c>
      <c r="K1" s="71" t="s">
        <v>11</v>
      </c>
      <c r="L1" s="73" t="s">
        <v>10</v>
      </c>
      <c r="M1" s="1" t="s">
        <v>12</v>
      </c>
      <c r="N1" s="71" t="s">
        <v>13</v>
      </c>
      <c r="O1" s="71" t="s">
        <v>14</v>
      </c>
      <c r="P1" s="69" t="s">
        <v>15</v>
      </c>
      <c r="Q1" s="71" t="s">
        <v>39</v>
      </c>
      <c r="R1" s="74" t="s">
        <v>17</v>
      </c>
      <c r="S1" s="69" t="s">
        <v>18</v>
      </c>
      <c r="T1" s="16"/>
      <c r="U1" s="16"/>
      <c r="V1" s="16"/>
      <c r="W1" s="16"/>
      <c r="X1" s="16"/>
      <c r="Z1" s="16"/>
      <c r="AA1" s="16"/>
      <c r="AC1" s="16"/>
    </row>
    <row r="2" ht="30.0" customHeight="1">
      <c r="A2" s="75" t="s">
        <v>40</v>
      </c>
      <c r="B2" s="76"/>
      <c r="C2" s="75"/>
      <c r="D2" s="77" t="s">
        <v>41</v>
      </c>
      <c r="E2" s="7" t="s">
        <v>42</v>
      </c>
      <c r="F2" s="75">
        <v>12.0</v>
      </c>
      <c r="G2" s="78">
        <f t="shared" ref="G2:H2" si="1">G16</f>
        <v>41940</v>
      </c>
      <c r="H2" s="78">
        <f t="shared" si="1"/>
        <v>42304</v>
      </c>
      <c r="I2" s="79"/>
      <c r="J2" s="79"/>
      <c r="K2" s="79"/>
      <c r="L2" s="79"/>
      <c r="M2" s="79">
        <f>SUM(K7:K20)</f>
        <v>6174</v>
      </c>
      <c r="N2" s="80" t="s">
        <v>24</v>
      </c>
      <c r="O2" s="81">
        <f>(M2-S2)*100/M2</f>
        <v>32.29446064</v>
      </c>
      <c r="P2" s="82"/>
      <c r="Q2" s="79"/>
      <c r="R2" s="83" t="str">
        <f>R7</f>
        <v>Approval required</v>
      </c>
      <c r="S2" s="79">
        <f>S4+S3</f>
        <v>4180.14</v>
      </c>
      <c r="T2" s="84"/>
      <c r="U2" s="85">
        <v>4180.14</v>
      </c>
      <c r="V2" s="84"/>
      <c r="W2" s="84"/>
      <c r="X2" s="84"/>
      <c r="Y2" s="84"/>
      <c r="Z2" s="84"/>
      <c r="AA2" s="84"/>
      <c r="AB2" s="84"/>
      <c r="AC2" s="84"/>
    </row>
    <row r="3" ht="30.0" customHeight="1">
      <c r="A3" s="84"/>
      <c r="B3" s="8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6" t="s">
        <v>43</v>
      </c>
      <c r="S3" s="87">
        <f>S22</f>
        <v>1106.46</v>
      </c>
      <c r="T3" s="84"/>
      <c r="U3" s="84"/>
      <c r="V3" s="84"/>
      <c r="W3" s="84"/>
      <c r="X3" s="84"/>
      <c r="Y3" s="84"/>
      <c r="Z3" s="84"/>
      <c r="AA3" s="84"/>
      <c r="AB3" s="84"/>
      <c r="AC3" s="84"/>
    </row>
    <row r="4" ht="30.0" customHeight="1">
      <c r="A4" s="84"/>
      <c r="B4" s="8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6" t="s">
        <v>44</v>
      </c>
      <c r="S4" s="87">
        <f>S31</f>
        <v>3073.68</v>
      </c>
      <c r="T4" s="84"/>
      <c r="U4" s="84"/>
      <c r="V4" s="84"/>
      <c r="W4" s="84"/>
      <c r="X4" s="84"/>
      <c r="Y4" s="84"/>
      <c r="Z4" s="84"/>
      <c r="AA4" s="84"/>
      <c r="AB4" s="84"/>
      <c r="AC4" s="84"/>
    </row>
    <row r="5" ht="21.75" customHeight="1">
      <c r="A5" s="75" t="s">
        <v>45</v>
      </c>
      <c r="B5" s="8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6"/>
      <c r="S5" s="87"/>
      <c r="T5" s="84"/>
      <c r="U5" s="84"/>
      <c r="V5" s="84"/>
      <c r="W5" s="84"/>
      <c r="X5" s="84"/>
      <c r="Y5" s="84"/>
      <c r="Z5" s="84"/>
      <c r="AA5" s="84"/>
      <c r="AB5" s="84"/>
      <c r="AC5" s="84"/>
    </row>
    <row r="6" ht="21.75" customHeight="1">
      <c r="A6" s="9" t="s">
        <v>46</v>
      </c>
      <c r="B6" s="8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6"/>
      <c r="S6" s="87"/>
      <c r="T6" s="84"/>
      <c r="U6" s="84"/>
      <c r="V6" s="84"/>
      <c r="W6" s="84"/>
      <c r="X6" s="84"/>
      <c r="Y6" s="84"/>
      <c r="Z6" s="84"/>
      <c r="AA6" s="84"/>
      <c r="AB6" s="84"/>
      <c r="AC6" s="84"/>
    </row>
    <row r="7" ht="30.0" customHeight="1">
      <c r="A7" s="88" t="s">
        <v>40</v>
      </c>
      <c r="B7" s="8" t="s">
        <v>47</v>
      </c>
      <c r="C7" s="89"/>
      <c r="D7" s="89" t="s">
        <v>48</v>
      </c>
      <c r="E7" s="90">
        <v>2.0</v>
      </c>
      <c r="F7" s="89"/>
      <c r="G7" s="91"/>
      <c r="H7" s="91"/>
      <c r="I7" s="92">
        <v>125.0</v>
      </c>
      <c r="J7" s="92">
        <v>100.0</v>
      </c>
      <c r="K7" s="87">
        <f>J7*E7</f>
        <v>200</v>
      </c>
      <c r="L7" s="89"/>
      <c r="M7" s="89"/>
      <c r="N7" s="93" t="s">
        <v>24</v>
      </c>
      <c r="O7" s="90">
        <v>10.0</v>
      </c>
      <c r="P7" s="35"/>
      <c r="Q7" s="87">
        <f>K7*(1-O7/100)</f>
        <v>180</v>
      </c>
      <c r="R7" s="94" t="s">
        <v>49</v>
      </c>
      <c r="S7" s="87">
        <f>Q7*(1-O23/100)</f>
        <v>162</v>
      </c>
      <c r="T7" s="95"/>
      <c r="U7" s="95"/>
      <c r="V7" s="95"/>
      <c r="W7" s="95"/>
      <c r="X7" s="95"/>
      <c r="Y7" s="95"/>
      <c r="Z7" s="95"/>
      <c r="AA7" s="95"/>
      <c r="AB7" s="95"/>
      <c r="AC7" s="95"/>
    </row>
    <row r="8" ht="21.75" customHeight="1">
      <c r="A8" s="9" t="s">
        <v>31</v>
      </c>
      <c r="B8" s="96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8"/>
      <c r="Q8" s="97"/>
      <c r="R8" s="98"/>
      <c r="S8" s="97"/>
      <c r="T8" s="84"/>
      <c r="U8" s="84"/>
      <c r="V8" s="84"/>
      <c r="W8" s="84"/>
      <c r="X8" s="84"/>
      <c r="Y8" s="84"/>
      <c r="Z8" s="84"/>
      <c r="AA8" s="84"/>
      <c r="AB8" s="84"/>
      <c r="AC8" s="84"/>
    </row>
    <row r="9" ht="21.75" customHeight="1">
      <c r="A9" s="9" t="s">
        <v>50</v>
      </c>
      <c r="B9" s="96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8"/>
      <c r="Q9" s="97"/>
      <c r="R9" s="98"/>
      <c r="S9" s="79">
        <f>SUM(S10:S12)</f>
        <v>3046.14</v>
      </c>
      <c r="T9" s="84"/>
      <c r="U9" s="84"/>
      <c r="V9" s="84"/>
      <c r="W9" s="84"/>
      <c r="X9" s="84"/>
      <c r="Y9" s="84"/>
      <c r="Z9" s="84"/>
      <c r="AA9" s="84"/>
      <c r="AB9" s="84"/>
      <c r="AC9" s="84"/>
    </row>
    <row r="10" ht="30.0" customHeight="1">
      <c r="A10" s="88" t="s">
        <v>51</v>
      </c>
      <c r="B10" s="8" t="s">
        <v>47</v>
      </c>
      <c r="C10" s="89"/>
      <c r="D10" s="89" t="s">
        <v>52</v>
      </c>
      <c r="E10" s="90">
        <v>1.0</v>
      </c>
      <c r="F10" s="89"/>
      <c r="G10" s="84"/>
      <c r="H10" s="89"/>
      <c r="I10" s="87">
        <v>1000.0</v>
      </c>
      <c r="J10" s="87">
        <v>990.0</v>
      </c>
      <c r="K10" s="87">
        <f t="shared" ref="K10:K11" si="2">J10*E10</f>
        <v>990</v>
      </c>
      <c r="L10" s="84"/>
      <c r="M10" s="84"/>
      <c r="N10" s="93" t="s">
        <v>24</v>
      </c>
      <c r="O10" s="90">
        <v>10.0</v>
      </c>
      <c r="P10" s="35"/>
      <c r="Q10" s="87">
        <f t="shared" ref="Q10:Q12" si="3">K10*(1-O10/100)</f>
        <v>891</v>
      </c>
      <c r="R10" s="86" t="s">
        <v>49</v>
      </c>
      <c r="S10" s="87">
        <f>Q10*(1-O27/100)</f>
        <v>801.9</v>
      </c>
      <c r="T10" s="84"/>
      <c r="U10" s="84"/>
      <c r="V10" s="84"/>
      <c r="W10" s="84"/>
      <c r="X10" s="84"/>
      <c r="Y10" s="84"/>
      <c r="Z10" s="84"/>
      <c r="AA10" s="84"/>
      <c r="AB10" s="84"/>
      <c r="AC10" s="84"/>
    </row>
    <row r="11" ht="30.0" customHeight="1">
      <c r="A11" s="88" t="s">
        <v>51</v>
      </c>
      <c r="B11" s="8" t="s">
        <v>47</v>
      </c>
      <c r="C11" s="89"/>
      <c r="D11" s="89" t="s">
        <v>53</v>
      </c>
      <c r="E11" s="90">
        <v>2.0</v>
      </c>
      <c r="F11" s="89"/>
      <c r="G11" s="89"/>
      <c r="H11" s="89"/>
      <c r="I11" s="87">
        <v>110.0</v>
      </c>
      <c r="J11" s="87">
        <v>99.0</v>
      </c>
      <c r="K11" s="87">
        <f t="shared" si="2"/>
        <v>198</v>
      </c>
      <c r="L11" s="84"/>
      <c r="M11" s="84"/>
      <c r="N11" s="93" t="s">
        <v>24</v>
      </c>
      <c r="O11" s="90">
        <v>20.0</v>
      </c>
      <c r="P11" s="99"/>
      <c r="Q11" s="87">
        <f t="shared" si="3"/>
        <v>158.4</v>
      </c>
      <c r="R11" s="86" t="s">
        <v>49</v>
      </c>
      <c r="S11" s="87">
        <f>Q11*(1-O29/100)</f>
        <v>142.56</v>
      </c>
      <c r="T11" s="84"/>
      <c r="U11" s="84"/>
      <c r="V11" s="84"/>
      <c r="W11" s="84"/>
      <c r="X11" s="84"/>
      <c r="Y11" s="84"/>
      <c r="Z11" s="84"/>
      <c r="AA11" s="84"/>
      <c r="AB11" s="84"/>
      <c r="AC11" s="84"/>
    </row>
    <row r="12" ht="30.0" customHeight="1">
      <c r="A12" s="88" t="s">
        <v>54</v>
      </c>
      <c r="B12" s="8" t="s">
        <v>55</v>
      </c>
      <c r="C12" s="89" t="s">
        <v>56</v>
      </c>
      <c r="D12" s="89" t="s">
        <v>57</v>
      </c>
      <c r="E12" s="90">
        <v>2.0</v>
      </c>
      <c r="F12" s="90">
        <v>12.0</v>
      </c>
      <c r="G12" s="100">
        <v>41940.0</v>
      </c>
      <c r="H12" s="100">
        <v>42304.0</v>
      </c>
      <c r="I12" s="87">
        <v>150.0</v>
      </c>
      <c r="J12" s="87">
        <v>139.0</v>
      </c>
      <c r="K12" s="87">
        <f>J12*F12*E12</f>
        <v>3336</v>
      </c>
      <c r="L12" s="84"/>
      <c r="M12" s="84"/>
      <c r="N12" s="93" t="s">
        <v>24</v>
      </c>
      <c r="O12" s="90">
        <v>30.0</v>
      </c>
      <c r="P12" s="82"/>
      <c r="Q12" s="87">
        <f t="shared" si="3"/>
        <v>2335.2</v>
      </c>
      <c r="R12" s="86" t="s">
        <v>49</v>
      </c>
      <c r="S12" s="87">
        <f>Q12*(1-O32/100)</f>
        <v>2101.68</v>
      </c>
      <c r="T12" s="84"/>
      <c r="U12" s="84"/>
      <c r="V12" s="84"/>
      <c r="W12" s="84"/>
      <c r="X12" s="84"/>
      <c r="Y12" s="84"/>
      <c r="Z12" s="84"/>
      <c r="AA12" s="84"/>
      <c r="AB12" s="84"/>
      <c r="AC12" s="84"/>
    </row>
    <row r="13" ht="30.0" customHeight="1">
      <c r="A13" s="9" t="s">
        <v>58</v>
      </c>
      <c r="B13" s="8"/>
      <c r="C13" s="89"/>
      <c r="D13" s="89"/>
      <c r="E13" s="89"/>
      <c r="F13" s="89"/>
      <c r="G13" s="101"/>
      <c r="H13" s="101"/>
      <c r="I13" s="87"/>
      <c r="J13" s="87"/>
      <c r="K13" s="87"/>
      <c r="L13" s="84"/>
      <c r="M13" s="84"/>
      <c r="N13" s="93"/>
      <c r="O13" s="90"/>
      <c r="P13" s="89"/>
      <c r="Q13" s="87"/>
      <c r="R13" s="86"/>
      <c r="S13" s="79">
        <f>SUM(S14)</f>
        <v>202.5</v>
      </c>
      <c r="T13" s="84"/>
      <c r="U13" s="84"/>
      <c r="V13" s="84"/>
      <c r="W13" s="84"/>
      <c r="X13" s="84"/>
      <c r="Y13" s="84"/>
      <c r="Z13" s="84"/>
      <c r="AA13" s="84"/>
      <c r="AB13" s="84"/>
      <c r="AC13" s="84"/>
    </row>
    <row r="14" ht="30.0" customHeight="1">
      <c r="A14" s="88" t="s">
        <v>59</v>
      </c>
      <c r="B14" s="8" t="s">
        <v>47</v>
      </c>
      <c r="C14" s="89"/>
      <c r="D14" s="89" t="s">
        <v>48</v>
      </c>
      <c r="E14" s="90">
        <v>2.0</v>
      </c>
      <c r="F14" s="89"/>
      <c r="G14" s="84"/>
      <c r="H14" s="89"/>
      <c r="I14" s="87">
        <v>150.0</v>
      </c>
      <c r="J14" s="87">
        <v>125.0</v>
      </c>
      <c r="K14" s="87">
        <f>J14*E14</f>
        <v>250</v>
      </c>
      <c r="L14" s="84"/>
      <c r="M14" s="84"/>
      <c r="N14" s="93" t="s">
        <v>24</v>
      </c>
      <c r="O14" s="90">
        <v>10.0</v>
      </c>
      <c r="P14" s="35"/>
      <c r="Q14" s="87">
        <f>K14*(1-O14/100)</f>
        <v>225</v>
      </c>
      <c r="R14" s="86" t="s">
        <v>49</v>
      </c>
      <c r="S14" s="87">
        <f>Q14*(1-O25/100)</f>
        <v>202.5</v>
      </c>
      <c r="T14" s="84"/>
      <c r="U14" s="84"/>
      <c r="V14" s="84"/>
      <c r="W14" s="84"/>
      <c r="X14" s="84"/>
      <c r="Y14" s="84"/>
      <c r="Z14" s="84"/>
      <c r="AA14" s="84"/>
      <c r="AB14" s="84"/>
      <c r="AC14" s="84"/>
    </row>
    <row r="15" ht="30.0" customHeight="1">
      <c r="A15" s="9" t="s">
        <v>60</v>
      </c>
      <c r="B15" s="96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8"/>
      <c r="Q15" s="97"/>
      <c r="R15" s="98"/>
      <c r="S15" s="79">
        <f>SUM(S16:S20)</f>
        <v>972</v>
      </c>
      <c r="T15" s="84"/>
      <c r="U15" s="84"/>
      <c r="V15" s="84"/>
      <c r="W15" s="84"/>
      <c r="X15" s="84"/>
      <c r="Y15" s="84"/>
      <c r="Z15" s="84"/>
      <c r="AA15" s="84"/>
      <c r="AB15" s="84"/>
      <c r="AC15" s="84"/>
    </row>
    <row r="16" ht="30.0" customHeight="1">
      <c r="A16" s="88" t="s">
        <v>61</v>
      </c>
      <c r="B16" s="8" t="s">
        <v>55</v>
      </c>
      <c r="C16" s="89" t="s">
        <v>56</v>
      </c>
      <c r="D16" s="89" t="s">
        <v>57</v>
      </c>
      <c r="E16" s="90">
        <v>2.0</v>
      </c>
      <c r="F16" s="90">
        <v>12.0</v>
      </c>
      <c r="G16" s="102">
        <v>41940.0</v>
      </c>
      <c r="H16" s="100">
        <v>42304.0</v>
      </c>
      <c r="I16" s="87">
        <v>10.0</v>
      </c>
      <c r="J16" s="87">
        <v>10.0</v>
      </c>
      <c r="K16" s="87">
        <f t="shared" ref="K16:K20" si="4">J16*E16*F16</f>
        <v>240</v>
      </c>
      <c r="L16" s="84"/>
      <c r="M16" s="84"/>
      <c r="N16" s="93" t="s">
        <v>24</v>
      </c>
      <c r="O16" s="90">
        <v>10.0</v>
      </c>
      <c r="P16" s="35"/>
      <c r="Q16" s="87">
        <f t="shared" ref="Q16:Q20" si="5">K16*(1-O16/100)</f>
        <v>216</v>
      </c>
      <c r="R16" s="86" t="s">
        <v>49</v>
      </c>
      <c r="S16" s="87">
        <f t="shared" ref="S16:S20" si="6">Q16*(1-$O$32/100)</f>
        <v>194.4</v>
      </c>
      <c r="T16" s="84"/>
      <c r="U16" s="84"/>
      <c r="V16" s="84"/>
      <c r="W16" s="84"/>
      <c r="X16" s="84"/>
      <c r="Y16" s="84"/>
      <c r="Z16" s="84"/>
      <c r="AA16" s="84"/>
      <c r="AB16" s="84"/>
      <c r="AC16" s="84"/>
    </row>
    <row r="17" ht="30.0" customHeight="1">
      <c r="A17" s="88" t="s">
        <v>62</v>
      </c>
      <c r="B17" s="8" t="s">
        <v>55</v>
      </c>
      <c r="C17" s="89" t="s">
        <v>56</v>
      </c>
      <c r="D17" s="89" t="s">
        <v>57</v>
      </c>
      <c r="E17" s="90">
        <v>2.0</v>
      </c>
      <c r="F17" s="90">
        <v>12.0</v>
      </c>
      <c r="G17" s="102">
        <v>41940.0</v>
      </c>
      <c r="H17" s="100">
        <v>42304.0</v>
      </c>
      <c r="I17" s="87">
        <v>10.0</v>
      </c>
      <c r="J17" s="87">
        <v>10.0</v>
      </c>
      <c r="K17" s="87">
        <f t="shared" si="4"/>
        <v>240</v>
      </c>
      <c r="L17" s="84"/>
      <c r="M17" s="84"/>
      <c r="N17" s="93" t="s">
        <v>24</v>
      </c>
      <c r="O17" s="90">
        <v>10.0</v>
      </c>
      <c r="P17" s="35"/>
      <c r="Q17" s="87">
        <f t="shared" si="5"/>
        <v>216</v>
      </c>
      <c r="R17" s="86" t="s">
        <v>49</v>
      </c>
      <c r="S17" s="87">
        <f t="shared" si="6"/>
        <v>194.4</v>
      </c>
      <c r="T17" s="84"/>
      <c r="U17" s="84"/>
      <c r="V17" s="84"/>
      <c r="W17" s="84"/>
      <c r="X17" s="84"/>
      <c r="Y17" s="84"/>
      <c r="Z17" s="84"/>
      <c r="AA17" s="84"/>
      <c r="AB17" s="84"/>
      <c r="AC17" s="84"/>
    </row>
    <row r="18" ht="30.0" customHeight="1">
      <c r="A18" s="88" t="s">
        <v>63</v>
      </c>
      <c r="B18" s="8" t="s">
        <v>55</v>
      </c>
      <c r="C18" s="89" t="s">
        <v>56</v>
      </c>
      <c r="D18" s="89" t="s">
        <v>57</v>
      </c>
      <c r="E18" s="90">
        <v>2.0</v>
      </c>
      <c r="F18" s="90">
        <v>12.0</v>
      </c>
      <c r="G18" s="102">
        <v>41940.0</v>
      </c>
      <c r="H18" s="100">
        <v>42304.0</v>
      </c>
      <c r="I18" s="87">
        <v>10.0</v>
      </c>
      <c r="J18" s="87">
        <v>10.0</v>
      </c>
      <c r="K18" s="87">
        <f t="shared" si="4"/>
        <v>240</v>
      </c>
      <c r="L18" s="84"/>
      <c r="M18" s="84"/>
      <c r="N18" s="93" t="s">
        <v>24</v>
      </c>
      <c r="O18" s="90">
        <v>10.0</v>
      </c>
      <c r="P18" s="35"/>
      <c r="Q18" s="87">
        <f t="shared" si="5"/>
        <v>216</v>
      </c>
      <c r="R18" s="86" t="s">
        <v>49</v>
      </c>
      <c r="S18" s="87">
        <f t="shared" si="6"/>
        <v>194.4</v>
      </c>
      <c r="T18" s="84"/>
      <c r="U18" s="84"/>
      <c r="V18" s="84"/>
      <c r="W18" s="84"/>
      <c r="X18" s="84"/>
      <c r="Y18" s="84"/>
      <c r="Z18" s="84"/>
      <c r="AA18" s="84"/>
      <c r="AB18" s="84"/>
      <c r="AC18" s="84"/>
    </row>
    <row r="19" ht="30.0" customHeight="1">
      <c r="A19" s="88" t="s">
        <v>64</v>
      </c>
      <c r="B19" s="8" t="s">
        <v>55</v>
      </c>
      <c r="C19" s="89" t="s">
        <v>56</v>
      </c>
      <c r="D19" s="89" t="s">
        <v>57</v>
      </c>
      <c r="E19" s="90">
        <v>2.0</v>
      </c>
      <c r="F19" s="90">
        <v>12.0</v>
      </c>
      <c r="G19" s="102">
        <v>41940.0</v>
      </c>
      <c r="H19" s="100">
        <v>42304.0</v>
      </c>
      <c r="I19" s="87">
        <v>10.0</v>
      </c>
      <c r="J19" s="87">
        <v>10.0</v>
      </c>
      <c r="K19" s="87">
        <f t="shared" si="4"/>
        <v>240</v>
      </c>
      <c r="L19" s="84"/>
      <c r="M19" s="84"/>
      <c r="N19" s="93" t="s">
        <v>24</v>
      </c>
      <c r="O19" s="90">
        <v>10.0</v>
      </c>
      <c r="P19" s="35"/>
      <c r="Q19" s="87">
        <f t="shared" si="5"/>
        <v>216</v>
      </c>
      <c r="R19" s="86" t="s">
        <v>49</v>
      </c>
      <c r="S19" s="87">
        <f t="shared" si="6"/>
        <v>194.4</v>
      </c>
      <c r="T19" s="84"/>
      <c r="U19" s="84"/>
      <c r="V19" s="84"/>
      <c r="W19" s="84"/>
      <c r="X19" s="84"/>
      <c r="Y19" s="84"/>
      <c r="Z19" s="84"/>
      <c r="AA19" s="84"/>
      <c r="AB19" s="84"/>
      <c r="AC19" s="84"/>
    </row>
    <row r="20" ht="30.0" customHeight="1">
      <c r="A20" s="88" t="s">
        <v>65</v>
      </c>
      <c r="B20" s="8" t="s">
        <v>55</v>
      </c>
      <c r="C20" s="89" t="s">
        <v>56</v>
      </c>
      <c r="D20" s="89" t="s">
        <v>57</v>
      </c>
      <c r="E20" s="90">
        <v>2.0</v>
      </c>
      <c r="F20" s="90">
        <v>12.0</v>
      </c>
      <c r="G20" s="102">
        <v>41940.0</v>
      </c>
      <c r="H20" s="100">
        <v>42304.0</v>
      </c>
      <c r="I20" s="87">
        <v>10.0</v>
      </c>
      <c r="J20" s="87">
        <v>10.0</v>
      </c>
      <c r="K20" s="87">
        <f t="shared" si="4"/>
        <v>240</v>
      </c>
      <c r="L20" s="84"/>
      <c r="M20" s="84"/>
      <c r="N20" s="93" t="s">
        <v>24</v>
      </c>
      <c r="O20" s="90">
        <v>10.0</v>
      </c>
      <c r="P20" s="35"/>
      <c r="Q20" s="87">
        <f t="shared" si="5"/>
        <v>216</v>
      </c>
      <c r="R20" s="86" t="s">
        <v>49</v>
      </c>
      <c r="S20" s="87">
        <f t="shared" si="6"/>
        <v>194.4</v>
      </c>
      <c r="T20" s="84"/>
      <c r="U20" s="84"/>
      <c r="V20" s="84"/>
      <c r="W20" s="84"/>
      <c r="X20" s="84"/>
      <c r="Y20" s="84"/>
      <c r="Z20" s="84"/>
      <c r="AA20" s="84"/>
      <c r="AB20" s="84"/>
      <c r="AC20" s="84"/>
    </row>
    <row r="21" ht="30.0" customHeight="1">
      <c r="A21" s="75" t="s">
        <v>66</v>
      </c>
      <c r="B21" s="96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8"/>
      <c r="Q21" s="97"/>
      <c r="R21" s="98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</row>
    <row r="22" ht="30.0" customHeight="1">
      <c r="A22" s="9" t="s">
        <v>43</v>
      </c>
      <c r="B22" s="96"/>
      <c r="C22" s="97"/>
      <c r="D22" s="97"/>
      <c r="E22" s="97"/>
      <c r="F22" s="97"/>
      <c r="G22" s="97"/>
      <c r="H22" s="97"/>
      <c r="I22" s="97"/>
      <c r="J22" s="97"/>
      <c r="K22" s="79"/>
      <c r="L22" s="97"/>
      <c r="M22" s="97"/>
      <c r="N22" s="97"/>
      <c r="O22" s="97"/>
      <c r="P22" s="98"/>
      <c r="Q22" s="97"/>
      <c r="R22" s="98"/>
      <c r="S22" s="79">
        <f>S23+S27+S29</f>
        <v>1106.46</v>
      </c>
      <c r="T22" s="97"/>
      <c r="U22" s="97"/>
      <c r="V22" s="97"/>
      <c r="W22" s="97"/>
      <c r="X22" s="97"/>
      <c r="Y22" s="97"/>
      <c r="Z22" s="97"/>
      <c r="AA22" s="97"/>
      <c r="AB22" s="97"/>
      <c r="AC22" s="97"/>
    </row>
    <row r="23" ht="30.0" customHeight="1">
      <c r="A23" s="9" t="s">
        <v>67</v>
      </c>
      <c r="B23" s="96"/>
      <c r="C23" s="97"/>
      <c r="D23" s="97"/>
      <c r="E23" s="97"/>
      <c r="F23" s="97"/>
      <c r="G23" s="97"/>
      <c r="H23" s="97"/>
      <c r="I23" s="97"/>
      <c r="J23" s="97"/>
      <c r="K23" s="79">
        <f>K24</f>
        <v>200</v>
      </c>
      <c r="L23" s="97"/>
      <c r="M23" s="97"/>
      <c r="N23" s="103" t="s">
        <v>24</v>
      </c>
      <c r="O23" s="104">
        <v>10.0</v>
      </c>
      <c r="P23" s="105"/>
      <c r="Q23" s="79">
        <f>Q24</f>
        <v>162</v>
      </c>
      <c r="R23" s="83"/>
      <c r="S23" s="79">
        <f>SUM(S24)</f>
        <v>162</v>
      </c>
      <c r="T23" s="97"/>
      <c r="U23" s="97"/>
      <c r="V23" s="97"/>
      <c r="W23" s="97"/>
      <c r="X23" s="97"/>
      <c r="Y23" s="97"/>
      <c r="Z23" s="97"/>
      <c r="AA23" s="97"/>
      <c r="AB23" s="97"/>
      <c r="AC23" s="97"/>
    </row>
    <row r="24" ht="30.0" customHeight="1">
      <c r="A24" s="88" t="s">
        <v>40</v>
      </c>
      <c r="B24" s="8"/>
      <c r="C24" s="84"/>
      <c r="D24" s="89"/>
      <c r="E24" s="106">
        <v>2.0</v>
      </c>
      <c r="F24" s="84"/>
      <c r="G24" s="91"/>
      <c r="H24" s="91"/>
      <c r="I24" s="107">
        <f t="shared" ref="I24:J24" si="7">I7</f>
        <v>125</v>
      </c>
      <c r="J24" s="107">
        <f t="shared" si="7"/>
        <v>100</v>
      </c>
      <c r="K24" s="107">
        <f>J24*E24</f>
        <v>200</v>
      </c>
      <c r="L24" s="84"/>
      <c r="M24" s="84"/>
      <c r="N24" s="93" t="str">
        <f t="shared" ref="N24:O24" si="8">N7</f>
        <v>(%)</v>
      </c>
      <c r="O24" s="108">
        <f t="shared" si="8"/>
        <v>10</v>
      </c>
      <c r="P24" s="35"/>
      <c r="Q24" s="87">
        <f>S7</f>
        <v>162</v>
      </c>
      <c r="R24" s="86" t="s">
        <v>49</v>
      </c>
      <c r="S24" s="92">
        <f>Q24</f>
        <v>162</v>
      </c>
      <c r="T24" s="84"/>
      <c r="U24" s="84"/>
      <c r="V24" s="84"/>
      <c r="W24" s="84"/>
      <c r="X24" s="84"/>
      <c r="Y24" s="84"/>
      <c r="Z24" s="84"/>
      <c r="AA24" s="84"/>
      <c r="AB24" s="84"/>
      <c r="AC24" s="84"/>
    </row>
    <row r="25" ht="30.0" customHeight="1">
      <c r="A25" s="9" t="s">
        <v>68</v>
      </c>
      <c r="B25" s="8"/>
      <c r="C25" s="89"/>
      <c r="D25" s="89"/>
      <c r="E25" s="89"/>
      <c r="F25" s="89"/>
      <c r="G25" s="101"/>
      <c r="H25" s="101"/>
      <c r="I25" s="87"/>
      <c r="J25" s="87"/>
      <c r="K25" s="79">
        <f>K26</f>
        <v>250</v>
      </c>
      <c r="L25" s="84"/>
      <c r="M25" s="84"/>
      <c r="N25" s="103" t="s">
        <v>24</v>
      </c>
      <c r="O25" s="104">
        <v>10.0</v>
      </c>
      <c r="P25" s="57"/>
      <c r="Q25" s="79">
        <f>Q26</f>
        <v>202.5</v>
      </c>
      <c r="R25" s="86"/>
      <c r="S25" s="79">
        <f>SUM(S26)</f>
        <v>202.5</v>
      </c>
      <c r="T25" s="84"/>
      <c r="U25" s="84"/>
      <c r="V25" s="84"/>
      <c r="W25" s="84"/>
      <c r="X25" s="84"/>
      <c r="Y25" s="84"/>
      <c r="Z25" s="84"/>
      <c r="AA25" s="84"/>
      <c r="AB25" s="84"/>
      <c r="AC25" s="84"/>
    </row>
    <row r="26" ht="30.0" customHeight="1">
      <c r="A26" s="88" t="s">
        <v>59</v>
      </c>
      <c r="B26" s="8"/>
      <c r="C26" s="89"/>
      <c r="D26" s="89"/>
      <c r="E26" s="90">
        <v>2.0</v>
      </c>
      <c r="F26" s="89"/>
      <c r="G26" s="84"/>
      <c r="H26" s="89"/>
      <c r="I26" s="87">
        <v>150.0</v>
      </c>
      <c r="J26" s="87">
        <v>125.0</v>
      </c>
      <c r="K26" s="87">
        <f>J26*E26</f>
        <v>250</v>
      </c>
      <c r="L26" s="84"/>
      <c r="M26" s="84"/>
      <c r="N26" s="93" t="str">
        <f t="shared" ref="N26:O26" si="9">N14</f>
        <v>(%)</v>
      </c>
      <c r="O26" s="108">
        <f t="shared" si="9"/>
        <v>10</v>
      </c>
      <c r="P26" s="35"/>
      <c r="Q26" s="87">
        <f>S14</f>
        <v>202.5</v>
      </c>
      <c r="R26" s="86" t="s">
        <v>49</v>
      </c>
      <c r="S26" s="87">
        <f>Q26</f>
        <v>202.5</v>
      </c>
      <c r="T26" s="84"/>
      <c r="U26" s="84"/>
      <c r="V26" s="84"/>
      <c r="W26" s="84"/>
      <c r="X26" s="84"/>
      <c r="Y26" s="84"/>
      <c r="Z26" s="84"/>
      <c r="AA26" s="84"/>
      <c r="AB26" s="84"/>
      <c r="AC26" s="84"/>
    </row>
    <row r="27" ht="30.0" customHeight="1">
      <c r="A27" s="9" t="s">
        <v>52</v>
      </c>
      <c r="B27" s="8"/>
      <c r="C27" s="84"/>
      <c r="D27" s="89"/>
      <c r="E27" s="84"/>
      <c r="F27" s="84"/>
      <c r="G27" s="84"/>
      <c r="H27" s="84"/>
      <c r="I27" s="84"/>
      <c r="J27" s="107"/>
      <c r="K27" s="79">
        <f>K28</f>
        <v>990</v>
      </c>
      <c r="L27" s="84"/>
      <c r="M27" s="84"/>
      <c r="N27" s="103" t="s">
        <v>24</v>
      </c>
      <c r="O27" s="104">
        <v>10.0</v>
      </c>
      <c r="P27" s="105"/>
      <c r="Q27" s="79">
        <f>Q28</f>
        <v>801.9</v>
      </c>
      <c r="R27" s="83"/>
      <c r="S27" s="79">
        <f>SUM(S28)</f>
        <v>801.9</v>
      </c>
      <c r="T27" s="84"/>
      <c r="U27" s="84"/>
      <c r="V27" s="84"/>
      <c r="W27" s="84"/>
      <c r="X27" s="84"/>
      <c r="Y27" s="84"/>
      <c r="Z27" s="84"/>
      <c r="AA27" s="84"/>
      <c r="AB27" s="84"/>
      <c r="AC27" s="84"/>
    </row>
    <row r="28" ht="30.0" customHeight="1">
      <c r="A28" s="88" t="s">
        <v>51</v>
      </c>
      <c r="B28" s="8"/>
      <c r="C28" s="109"/>
      <c r="D28" s="109"/>
      <c r="E28" s="110">
        <v>1.0</v>
      </c>
      <c r="F28" s="109"/>
      <c r="G28" s="111"/>
      <c r="H28" s="109"/>
      <c r="I28" s="107">
        <f t="shared" ref="I28:K28" si="10">I10</f>
        <v>1000</v>
      </c>
      <c r="J28" s="107">
        <f t="shared" si="10"/>
        <v>990</v>
      </c>
      <c r="K28" s="107">
        <f t="shared" si="10"/>
        <v>990</v>
      </c>
      <c r="L28" s="111"/>
      <c r="M28" s="111"/>
      <c r="N28" s="93" t="str">
        <f t="shared" ref="N28:O28" si="11">N10</f>
        <v>(%)</v>
      </c>
      <c r="O28" s="108">
        <f t="shared" si="11"/>
        <v>10</v>
      </c>
      <c r="P28" s="35"/>
      <c r="Q28" s="87">
        <f>S10</f>
        <v>801.9</v>
      </c>
      <c r="R28" s="86" t="s">
        <v>49</v>
      </c>
      <c r="S28" s="87">
        <f>Q28</f>
        <v>801.9</v>
      </c>
      <c r="T28" s="84"/>
      <c r="U28" s="84"/>
      <c r="V28" s="84"/>
      <c r="W28" s="84"/>
      <c r="X28" s="84"/>
      <c r="Y28" s="84"/>
      <c r="Z28" s="84"/>
      <c r="AA28" s="84"/>
      <c r="AB28" s="84"/>
      <c r="AC28" s="84"/>
    </row>
    <row r="29" ht="30.0" customHeight="1">
      <c r="A29" s="9" t="s">
        <v>53</v>
      </c>
      <c r="B29" s="8"/>
      <c r="C29" s="109"/>
      <c r="D29" s="109"/>
      <c r="E29" s="109"/>
      <c r="F29" s="109"/>
      <c r="G29" s="111"/>
      <c r="H29" s="109"/>
      <c r="I29" s="109"/>
      <c r="J29" s="107"/>
      <c r="K29" s="79">
        <f>K30</f>
        <v>198</v>
      </c>
      <c r="L29" s="111"/>
      <c r="M29" s="111"/>
      <c r="N29" s="103" t="s">
        <v>24</v>
      </c>
      <c r="O29" s="104">
        <v>10.0</v>
      </c>
      <c r="P29" s="105"/>
      <c r="Q29" s="79">
        <f>Q30</f>
        <v>142.56</v>
      </c>
      <c r="R29" s="83"/>
      <c r="S29" s="79">
        <f>SUM(S30)</f>
        <v>142.56</v>
      </c>
      <c r="T29" s="97"/>
      <c r="U29" s="97"/>
      <c r="V29" s="97"/>
      <c r="W29" s="97"/>
      <c r="X29" s="97"/>
      <c r="Y29" s="97"/>
      <c r="Z29" s="97"/>
      <c r="AA29" s="97"/>
      <c r="AB29" s="97"/>
      <c r="AC29" s="97"/>
    </row>
    <row r="30" ht="30.0" customHeight="1">
      <c r="A30" s="88" t="s">
        <v>51</v>
      </c>
      <c r="B30" s="8"/>
      <c r="C30" s="109"/>
      <c r="D30" s="109"/>
      <c r="E30" s="110">
        <v>1.0</v>
      </c>
      <c r="F30" s="109"/>
      <c r="G30" s="109"/>
      <c r="H30" s="109"/>
      <c r="I30" s="107">
        <f t="shared" ref="I30:K30" si="12">I11</f>
        <v>110</v>
      </c>
      <c r="J30" s="107">
        <f t="shared" si="12"/>
        <v>99</v>
      </c>
      <c r="K30" s="107">
        <f t="shared" si="12"/>
        <v>198</v>
      </c>
      <c r="L30" s="111"/>
      <c r="M30" s="111"/>
      <c r="N30" s="93" t="str">
        <f t="shared" ref="N30:O30" si="13">N11</f>
        <v>(%)</v>
      </c>
      <c r="O30" s="108">
        <f t="shared" si="13"/>
        <v>20</v>
      </c>
      <c r="P30" s="99"/>
      <c r="Q30" s="87">
        <f>S11</f>
        <v>142.56</v>
      </c>
      <c r="R30" s="86" t="s">
        <v>49</v>
      </c>
      <c r="S30" s="87">
        <f>Q30</f>
        <v>142.56</v>
      </c>
      <c r="T30" s="97"/>
      <c r="U30" s="97"/>
      <c r="V30" s="97"/>
      <c r="W30" s="97"/>
      <c r="X30" s="97"/>
      <c r="Y30" s="97"/>
      <c r="Z30" s="97"/>
      <c r="AA30" s="97"/>
      <c r="AB30" s="97"/>
      <c r="AC30" s="97"/>
    </row>
    <row r="31" ht="30.0" customHeight="1">
      <c r="A31" s="9" t="s">
        <v>44</v>
      </c>
      <c r="B31" s="8"/>
      <c r="C31" s="112"/>
      <c r="D31" s="112"/>
      <c r="E31" s="112"/>
      <c r="F31" s="112"/>
      <c r="G31" s="112"/>
      <c r="H31" s="112"/>
      <c r="I31" s="112"/>
      <c r="J31" s="113"/>
      <c r="K31" s="113"/>
      <c r="L31" s="114"/>
      <c r="M31" s="114"/>
      <c r="N31" s="115"/>
      <c r="O31" s="116"/>
      <c r="P31" s="112"/>
      <c r="Q31" s="112"/>
      <c r="R31" s="117"/>
      <c r="S31" s="79">
        <f>S32</f>
        <v>3073.68</v>
      </c>
      <c r="T31" s="84"/>
      <c r="U31" s="84"/>
      <c r="V31" s="84"/>
      <c r="W31" s="84"/>
      <c r="X31" s="84"/>
      <c r="Y31" s="84"/>
      <c r="Z31" s="84"/>
      <c r="AA31" s="84"/>
      <c r="AB31" s="84"/>
      <c r="AC31" s="84"/>
    </row>
    <row r="32" ht="30.0" customHeight="1">
      <c r="A32" s="9" t="s">
        <v>57</v>
      </c>
      <c r="B32" s="8"/>
      <c r="C32" s="112"/>
      <c r="D32" s="112"/>
      <c r="E32" s="118">
        <v>2.0</v>
      </c>
      <c r="F32" s="118">
        <v>12.0</v>
      </c>
      <c r="G32" s="119">
        <v>41940.0</v>
      </c>
      <c r="H32" s="119">
        <v>42304.0</v>
      </c>
      <c r="I32" s="112"/>
      <c r="J32" s="113"/>
      <c r="K32" s="120">
        <f>SUM(K33:K38)</f>
        <v>4536</v>
      </c>
      <c r="L32" s="114"/>
      <c r="M32" s="114"/>
      <c r="N32" s="103" t="s">
        <v>24</v>
      </c>
      <c r="O32" s="104">
        <v>10.0</v>
      </c>
      <c r="P32" s="105"/>
      <c r="Q32" s="79">
        <f>SUM(Q33:Q38)</f>
        <v>3415.2</v>
      </c>
      <c r="R32" s="117"/>
      <c r="S32" s="79">
        <f>SUM(S33:S38)</f>
        <v>3073.68</v>
      </c>
      <c r="T32" s="84"/>
      <c r="U32" s="84"/>
      <c r="V32" s="84"/>
      <c r="W32" s="84"/>
      <c r="X32" s="84"/>
      <c r="Y32" s="84"/>
      <c r="Z32" s="84"/>
      <c r="AA32" s="84"/>
      <c r="AB32" s="84"/>
      <c r="AC32" s="84"/>
    </row>
    <row r="33" ht="30.0" customHeight="1">
      <c r="A33" s="88" t="s">
        <v>54</v>
      </c>
      <c r="B33" s="8"/>
      <c r="C33" s="109" t="s">
        <v>56</v>
      </c>
      <c r="D33" s="109"/>
      <c r="E33" s="110">
        <v>2.0</v>
      </c>
      <c r="F33" s="110">
        <v>12.0</v>
      </c>
      <c r="G33" s="121">
        <v>41940.0</v>
      </c>
      <c r="H33" s="121">
        <v>42304.0</v>
      </c>
      <c r="I33" s="87">
        <v>150.0</v>
      </c>
      <c r="J33" s="87">
        <v>139.0</v>
      </c>
      <c r="K33" s="87">
        <f>J33*F33*E33</f>
        <v>3336</v>
      </c>
      <c r="L33" s="111"/>
      <c r="M33" s="111"/>
      <c r="N33" s="122" t="str">
        <f>N30</f>
        <v>(%)</v>
      </c>
      <c r="O33" s="110">
        <v>30.0</v>
      </c>
      <c r="P33" s="82"/>
      <c r="Q33" s="107">
        <f>Q12</f>
        <v>2335.2</v>
      </c>
      <c r="R33" s="86" t="s">
        <v>49</v>
      </c>
      <c r="S33" s="87">
        <f t="shared" ref="S33:S38" si="14">Q33*(1-$O$32/100)</f>
        <v>2101.68</v>
      </c>
      <c r="T33" s="84"/>
      <c r="U33" s="84"/>
      <c r="V33" s="84"/>
      <c r="W33" s="84"/>
      <c r="X33" s="84"/>
      <c r="Y33" s="84"/>
      <c r="Z33" s="84"/>
      <c r="AA33" s="84"/>
      <c r="AB33" s="84"/>
      <c r="AC33" s="84"/>
    </row>
    <row r="34" ht="30.0" customHeight="1">
      <c r="A34" s="88" t="s">
        <v>61</v>
      </c>
      <c r="B34" s="8"/>
      <c r="C34" s="89" t="s">
        <v>56</v>
      </c>
      <c r="D34" s="89"/>
      <c r="E34" s="90">
        <v>2.0</v>
      </c>
      <c r="F34" s="90">
        <v>12.0</v>
      </c>
      <c r="G34" s="102">
        <v>41940.0</v>
      </c>
      <c r="H34" s="100">
        <v>42304.0</v>
      </c>
      <c r="I34" s="87">
        <v>10.0</v>
      </c>
      <c r="J34" s="87">
        <v>10.0</v>
      </c>
      <c r="K34" s="87">
        <f t="shared" ref="K34:K38" si="15">J34*E34*F34</f>
        <v>240</v>
      </c>
      <c r="L34" s="84"/>
      <c r="M34" s="84"/>
      <c r="N34" s="93" t="str">
        <f t="shared" ref="N34:N38" si="16">N33</f>
        <v>(%)</v>
      </c>
      <c r="O34" s="90">
        <v>10.0</v>
      </c>
      <c r="P34" s="35"/>
      <c r="Q34" s="87">
        <f t="shared" ref="Q34:Q38" si="17">Q16</f>
        <v>216</v>
      </c>
      <c r="R34" s="86" t="s">
        <v>49</v>
      </c>
      <c r="S34" s="87">
        <f t="shared" si="14"/>
        <v>194.4</v>
      </c>
      <c r="T34" s="84"/>
      <c r="U34" s="84"/>
      <c r="V34" s="84"/>
      <c r="W34" s="84"/>
      <c r="X34" s="84"/>
      <c r="Y34" s="84"/>
      <c r="Z34" s="84"/>
      <c r="AA34" s="84"/>
      <c r="AB34" s="84"/>
      <c r="AC34" s="84"/>
    </row>
    <row r="35" ht="30.0" customHeight="1">
      <c r="A35" s="88" t="s">
        <v>62</v>
      </c>
      <c r="B35" s="8"/>
      <c r="C35" s="89" t="s">
        <v>56</v>
      </c>
      <c r="D35" s="89"/>
      <c r="E35" s="90">
        <v>2.0</v>
      </c>
      <c r="F35" s="90">
        <v>12.0</v>
      </c>
      <c r="G35" s="102">
        <v>41940.0</v>
      </c>
      <c r="H35" s="100">
        <v>42304.0</v>
      </c>
      <c r="I35" s="87">
        <v>10.0</v>
      </c>
      <c r="J35" s="87">
        <v>10.0</v>
      </c>
      <c r="K35" s="87">
        <f t="shared" si="15"/>
        <v>240</v>
      </c>
      <c r="L35" s="84"/>
      <c r="M35" s="84"/>
      <c r="N35" s="93" t="str">
        <f t="shared" si="16"/>
        <v>(%)</v>
      </c>
      <c r="O35" s="90">
        <v>10.0</v>
      </c>
      <c r="P35" s="35"/>
      <c r="Q35" s="87">
        <f t="shared" si="17"/>
        <v>216</v>
      </c>
      <c r="R35" s="86" t="s">
        <v>49</v>
      </c>
      <c r="S35" s="87">
        <f t="shared" si="14"/>
        <v>194.4</v>
      </c>
      <c r="T35" s="84"/>
      <c r="U35" s="84"/>
      <c r="V35" s="84"/>
      <c r="W35" s="84"/>
      <c r="X35" s="84"/>
      <c r="Y35" s="84"/>
      <c r="Z35" s="84"/>
      <c r="AA35" s="84"/>
      <c r="AB35" s="84"/>
      <c r="AC35" s="84"/>
    </row>
    <row r="36" ht="30.0" customHeight="1">
      <c r="A36" s="88" t="s">
        <v>63</v>
      </c>
      <c r="B36" s="8"/>
      <c r="C36" s="89" t="s">
        <v>56</v>
      </c>
      <c r="D36" s="89"/>
      <c r="E36" s="90">
        <v>2.0</v>
      </c>
      <c r="F36" s="90">
        <v>12.0</v>
      </c>
      <c r="G36" s="102">
        <v>41940.0</v>
      </c>
      <c r="H36" s="100">
        <v>42304.0</v>
      </c>
      <c r="I36" s="87">
        <v>10.0</v>
      </c>
      <c r="J36" s="87">
        <v>10.0</v>
      </c>
      <c r="K36" s="87">
        <f t="shared" si="15"/>
        <v>240</v>
      </c>
      <c r="L36" s="84"/>
      <c r="M36" s="84"/>
      <c r="N36" s="93" t="str">
        <f t="shared" si="16"/>
        <v>(%)</v>
      </c>
      <c r="O36" s="90">
        <v>10.0</v>
      </c>
      <c r="P36" s="35"/>
      <c r="Q36" s="87">
        <f t="shared" si="17"/>
        <v>216</v>
      </c>
      <c r="R36" s="86" t="s">
        <v>49</v>
      </c>
      <c r="S36" s="87">
        <f t="shared" si="14"/>
        <v>194.4</v>
      </c>
      <c r="T36" s="84"/>
      <c r="U36" s="84"/>
      <c r="V36" s="84"/>
      <c r="W36" s="84"/>
      <c r="X36" s="84"/>
      <c r="Y36" s="84"/>
      <c r="Z36" s="84"/>
      <c r="AA36" s="84"/>
      <c r="AB36" s="84"/>
      <c r="AC36" s="84"/>
    </row>
    <row r="37" ht="30.0" customHeight="1">
      <c r="A37" s="88" t="s">
        <v>64</v>
      </c>
      <c r="B37" s="8"/>
      <c r="C37" s="89" t="s">
        <v>56</v>
      </c>
      <c r="D37" s="89"/>
      <c r="E37" s="90">
        <v>2.0</v>
      </c>
      <c r="F37" s="90">
        <v>12.0</v>
      </c>
      <c r="G37" s="102">
        <v>41940.0</v>
      </c>
      <c r="H37" s="100">
        <v>42304.0</v>
      </c>
      <c r="I37" s="87">
        <v>10.0</v>
      </c>
      <c r="J37" s="87">
        <v>10.0</v>
      </c>
      <c r="K37" s="87">
        <f t="shared" si="15"/>
        <v>240</v>
      </c>
      <c r="L37" s="84"/>
      <c r="M37" s="84"/>
      <c r="N37" s="93" t="str">
        <f t="shared" si="16"/>
        <v>(%)</v>
      </c>
      <c r="O37" s="90">
        <v>10.0</v>
      </c>
      <c r="P37" s="35"/>
      <c r="Q37" s="87">
        <f t="shared" si="17"/>
        <v>216</v>
      </c>
      <c r="R37" s="86" t="s">
        <v>49</v>
      </c>
      <c r="S37" s="87">
        <f t="shared" si="14"/>
        <v>194.4</v>
      </c>
      <c r="T37" s="84"/>
      <c r="U37" s="84"/>
      <c r="V37" s="84"/>
      <c r="W37" s="84"/>
      <c r="X37" s="84"/>
      <c r="Y37" s="84"/>
      <c r="Z37" s="84"/>
      <c r="AA37" s="84"/>
      <c r="AB37" s="84"/>
      <c r="AC37" s="84"/>
    </row>
    <row r="38" ht="30.0" customHeight="1">
      <c r="A38" s="88" t="s">
        <v>65</v>
      </c>
      <c r="B38" s="8"/>
      <c r="C38" s="89" t="s">
        <v>56</v>
      </c>
      <c r="D38" s="89"/>
      <c r="E38" s="90">
        <v>2.0</v>
      </c>
      <c r="F38" s="90">
        <v>12.0</v>
      </c>
      <c r="G38" s="102">
        <v>41940.0</v>
      </c>
      <c r="H38" s="100">
        <v>42304.0</v>
      </c>
      <c r="I38" s="87">
        <v>10.0</v>
      </c>
      <c r="J38" s="87">
        <v>10.0</v>
      </c>
      <c r="K38" s="87">
        <f t="shared" si="15"/>
        <v>240</v>
      </c>
      <c r="L38" s="84"/>
      <c r="M38" s="84"/>
      <c r="N38" s="93" t="str">
        <f t="shared" si="16"/>
        <v>(%)</v>
      </c>
      <c r="O38" s="90">
        <v>10.0</v>
      </c>
      <c r="P38" s="35"/>
      <c r="Q38" s="87">
        <f t="shared" si="17"/>
        <v>216</v>
      </c>
      <c r="R38" s="86" t="s">
        <v>49</v>
      </c>
      <c r="S38" s="87">
        <f t="shared" si="14"/>
        <v>194.4</v>
      </c>
      <c r="T38" s="84"/>
      <c r="U38" s="84"/>
      <c r="V38" s="84"/>
      <c r="W38" s="84"/>
      <c r="X38" s="84"/>
      <c r="Y38" s="84"/>
      <c r="Z38" s="84"/>
      <c r="AA38" s="84"/>
      <c r="AB38" s="84"/>
      <c r="AC38" s="84"/>
    </row>
    <row r="39" ht="30.0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23"/>
      <c r="S39" s="16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</row>
    <row r="40" ht="30.0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23"/>
      <c r="S40" s="16"/>
      <c r="T40" s="16"/>
      <c r="U40" s="16"/>
      <c r="V40" s="16"/>
      <c r="W40" s="16"/>
      <c r="X40" s="16"/>
      <c r="Z40" s="16"/>
      <c r="AA40" s="16"/>
      <c r="AC40" s="16"/>
    </row>
    <row r="41" ht="30.0" customHeight="1">
      <c r="A41" s="125" t="s">
        <v>69</v>
      </c>
      <c r="B41" s="126" t="s">
        <v>70</v>
      </c>
      <c r="C41" s="127"/>
      <c r="D41" s="128" t="s">
        <v>41</v>
      </c>
      <c r="E41" s="128" t="s">
        <v>42</v>
      </c>
      <c r="F41" s="127"/>
      <c r="G41" s="127"/>
      <c r="H41" s="127"/>
      <c r="I41" s="129"/>
      <c r="J41" s="129"/>
      <c r="K41" s="129"/>
      <c r="L41" s="129">
        <f>SUM(K49:K57)</f>
        <v>25840</v>
      </c>
      <c r="M41" s="129">
        <f>SUM(K46:K57)</f>
        <v>26040</v>
      </c>
      <c r="N41" s="130" t="s">
        <v>24</v>
      </c>
      <c r="O41" s="131">
        <f>(M41-S41)*100/M41</f>
        <v>37.01624424</v>
      </c>
      <c r="P41" s="132"/>
      <c r="Q41" s="129">
        <f>K41*(1-O41/100)</f>
        <v>0</v>
      </c>
      <c r="R41" s="128" t="s">
        <v>49</v>
      </c>
      <c r="S41" s="129">
        <f>S42+S43</f>
        <v>16400.97</v>
      </c>
      <c r="T41" s="16"/>
      <c r="U41" s="133">
        <v>16400.97</v>
      </c>
      <c r="V41" s="16"/>
      <c r="W41" s="16"/>
      <c r="X41" s="16"/>
      <c r="Z41" s="16"/>
      <c r="AA41" s="16"/>
      <c r="AC41" s="16"/>
    </row>
    <row r="42" ht="30.0" customHeight="1">
      <c r="A42" s="134"/>
      <c r="B42" s="20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5" t="s">
        <v>71</v>
      </c>
      <c r="S42" s="136">
        <f>S59</f>
        <v>3097.53</v>
      </c>
      <c r="T42" s="137"/>
      <c r="U42" s="137"/>
      <c r="V42" s="137"/>
      <c r="W42" s="137"/>
      <c r="X42" s="137"/>
      <c r="Y42" s="137"/>
      <c r="Z42" s="137"/>
      <c r="AA42" s="137"/>
      <c r="AB42" s="137"/>
      <c r="AC42" s="137"/>
    </row>
    <row r="43" ht="30.0" customHeight="1">
      <c r="A43" s="134"/>
      <c r="B43" s="20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5" t="s">
        <v>72</v>
      </c>
      <c r="S43" s="136">
        <f>S69</f>
        <v>13303.44</v>
      </c>
      <c r="T43" s="137"/>
      <c r="U43" s="137"/>
      <c r="V43" s="137"/>
      <c r="W43" s="137"/>
      <c r="X43" s="137"/>
      <c r="Y43" s="137"/>
      <c r="Z43" s="137"/>
      <c r="AA43" s="137"/>
      <c r="AB43" s="137"/>
      <c r="AC43" s="137"/>
    </row>
    <row r="44" ht="30.0" customHeight="1">
      <c r="A44" s="138" t="s">
        <v>45</v>
      </c>
      <c r="B44" s="20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5"/>
      <c r="S44" s="136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</row>
    <row r="45" ht="30.0" customHeight="1">
      <c r="A45" s="21" t="s">
        <v>46</v>
      </c>
      <c r="B45" s="20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5"/>
      <c r="S45" s="136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</row>
    <row r="46" ht="30.0" customHeight="1">
      <c r="A46" s="139" t="s">
        <v>69</v>
      </c>
      <c r="B46" s="20" t="s">
        <v>47</v>
      </c>
      <c r="C46" s="140"/>
      <c r="D46" s="140" t="s">
        <v>48</v>
      </c>
      <c r="E46" s="141">
        <v>2.0</v>
      </c>
      <c r="F46" s="142"/>
      <c r="G46" s="143"/>
      <c r="H46" s="143"/>
      <c r="I46" s="144">
        <v>125.0</v>
      </c>
      <c r="J46" s="144">
        <v>100.0</v>
      </c>
      <c r="K46" s="136">
        <f>J46*E46</f>
        <v>200</v>
      </c>
      <c r="L46" s="140"/>
      <c r="M46" s="140"/>
      <c r="N46" s="145" t="s">
        <v>24</v>
      </c>
      <c r="O46" s="141">
        <v>10.0</v>
      </c>
      <c r="P46" s="57"/>
      <c r="Q46" s="136">
        <f>K46*(1-O46/100)</f>
        <v>180</v>
      </c>
      <c r="R46" s="146" t="s">
        <v>49</v>
      </c>
      <c r="S46" s="136">
        <f>Q46*(1-O60/100)</f>
        <v>162</v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</row>
    <row r="47" ht="30.0" customHeight="1">
      <c r="A47" s="147" t="s">
        <v>73</v>
      </c>
      <c r="B47" s="148"/>
      <c r="C47" s="149"/>
      <c r="D47" s="149"/>
      <c r="E47" s="150"/>
      <c r="F47" s="150"/>
      <c r="G47" s="150"/>
      <c r="H47" s="150"/>
      <c r="I47" s="149"/>
      <c r="J47" s="149"/>
      <c r="K47" s="149"/>
      <c r="L47" s="149"/>
      <c r="M47" s="149"/>
      <c r="N47" s="149"/>
      <c r="O47" s="149"/>
      <c r="P47" s="149"/>
      <c r="Q47" s="149"/>
      <c r="R47" s="151"/>
      <c r="S47" s="149"/>
      <c r="T47" s="16"/>
      <c r="U47" s="16"/>
      <c r="V47" s="16"/>
      <c r="W47" s="16"/>
      <c r="X47" s="16"/>
      <c r="Z47" s="16"/>
      <c r="AA47" s="16"/>
      <c r="AC47" s="16"/>
    </row>
    <row r="48" ht="30.0" customHeight="1">
      <c r="A48" s="147" t="s">
        <v>74</v>
      </c>
      <c r="B48" s="148"/>
      <c r="C48" s="149"/>
      <c r="D48" s="149"/>
      <c r="E48" s="150"/>
      <c r="F48" s="150"/>
      <c r="G48" s="150"/>
      <c r="H48" s="150"/>
      <c r="I48" s="149"/>
      <c r="J48" s="149"/>
      <c r="K48" s="149"/>
      <c r="L48" s="149"/>
      <c r="M48" s="149"/>
      <c r="N48" s="149"/>
      <c r="O48" s="149"/>
      <c r="P48" s="149"/>
      <c r="Q48" s="149"/>
      <c r="R48" s="151"/>
      <c r="S48" s="129">
        <f>SUM(S49:S50)</f>
        <v>7270.56</v>
      </c>
      <c r="T48" s="16"/>
      <c r="U48" s="16"/>
      <c r="V48" s="16"/>
      <c r="W48" s="16"/>
      <c r="X48" s="16"/>
      <c r="Z48" s="16"/>
      <c r="AA48" s="16"/>
      <c r="AC48" s="16"/>
    </row>
    <row r="49" ht="30.0" customHeight="1">
      <c r="A49" s="139" t="s">
        <v>75</v>
      </c>
      <c r="B49" s="20" t="s">
        <v>55</v>
      </c>
      <c r="C49" s="140" t="s">
        <v>56</v>
      </c>
      <c r="D49" s="140" t="s">
        <v>57</v>
      </c>
      <c r="E49" s="141">
        <v>2.0</v>
      </c>
      <c r="F49" s="141">
        <v>12.0</v>
      </c>
      <c r="G49" s="152">
        <v>41940.0</v>
      </c>
      <c r="H49" s="152">
        <v>42304.0</v>
      </c>
      <c r="I49" s="136">
        <v>374.0</v>
      </c>
      <c r="J49" s="136">
        <v>374.0</v>
      </c>
      <c r="K49" s="136">
        <f>J49*F49*E49</f>
        <v>8976</v>
      </c>
      <c r="L49" s="136"/>
      <c r="M49" s="136"/>
      <c r="N49" s="145" t="s">
        <v>24</v>
      </c>
      <c r="O49" s="141">
        <v>10.0</v>
      </c>
      <c r="P49" s="35"/>
      <c r="Q49" s="136">
        <f t="shared" ref="Q49:Q50" si="18">K49*(1-O49/100)</f>
        <v>8078.4</v>
      </c>
      <c r="R49" s="135" t="s">
        <v>49</v>
      </c>
      <c r="S49" s="136">
        <f>Q49*(1-O70/100)</f>
        <v>7270.56</v>
      </c>
      <c r="T49" s="137"/>
      <c r="U49" s="137"/>
      <c r="V49" s="137"/>
      <c r="W49" s="137"/>
      <c r="X49" s="137"/>
      <c r="Y49" s="137"/>
      <c r="Z49" s="137"/>
      <c r="AA49" s="137"/>
      <c r="AB49" s="137"/>
      <c r="AC49" s="137"/>
    </row>
    <row r="50" ht="30.0" customHeight="1">
      <c r="A50" s="139" t="s">
        <v>74</v>
      </c>
      <c r="B50" s="20" t="s">
        <v>70</v>
      </c>
      <c r="C50" s="140"/>
      <c r="D50" s="140" t="s">
        <v>52</v>
      </c>
      <c r="E50" s="141">
        <v>1.0</v>
      </c>
      <c r="F50" s="142"/>
      <c r="G50" s="142"/>
      <c r="H50" s="142"/>
      <c r="I50" s="136">
        <v>0.0</v>
      </c>
      <c r="J50" s="136">
        <v>0.0</v>
      </c>
      <c r="K50" s="136">
        <f>J50</f>
        <v>0</v>
      </c>
      <c r="L50" s="136"/>
      <c r="M50" s="136"/>
      <c r="N50" s="145" t="s">
        <v>24</v>
      </c>
      <c r="O50" s="141">
        <v>0.0</v>
      </c>
      <c r="P50" s="57"/>
      <c r="Q50" s="136">
        <f t="shared" si="18"/>
        <v>0</v>
      </c>
      <c r="R50" s="135"/>
      <c r="S50" s="136">
        <f>Q50*(1-O62/100)</f>
        <v>0</v>
      </c>
      <c r="T50" s="16"/>
      <c r="U50" s="16"/>
      <c r="V50" s="16"/>
      <c r="W50" s="16"/>
      <c r="X50" s="16"/>
      <c r="Z50" s="16"/>
      <c r="AA50" s="16"/>
      <c r="AC50" s="16"/>
    </row>
    <row r="51" ht="30.0" customHeight="1">
      <c r="A51" s="147" t="s">
        <v>76</v>
      </c>
      <c r="B51" s="148"/>
      <c r="C51" s="153"/>
      <c r="D51" s="153"/>
      <c r="E51" s="154"/>
      <c r="F51" s="154"/>
      <c r="G51" s="154"/>
      <c r="H51" s="154"/>
      <c r="I51" s="155"/>
      <c r="J51" s="155"/>
      <c r="K51" s="155"/>
      <c r="L51" s="155"/>
      <c r="M51" s="155"/>
      <c r="N51" s="156"/>
      <c r="O51" s="157"/>
      <c r="P51" s="153"/>
      <c r="Q51" s="153"/>
      <c r="R51" s="158"/>
      <c r="S51" s="129">
        <f>SUM(S52)</f>
        <v>6032.88</v>
      </c>
      <c r="T51" s="137"/>
      <c r="U51" s="137"/>
      <c r="V51" s="137"/>
      <c r="W51" s="137"/>
      <c r="X51" s="137"/>
      <c r="Y51" s="137"/>
      <c r="Z51" s="137"/>
      <c r="AA51" s="137"/>
      <c r="AB51" s="137"/>
      <c r="AC51" s="137"/>
    </row>
    <row r="52" ht="30.0" customHeight="1">
      <c r="A52" s="139" t="s">
        <v>77</v>
      </c>
      <c r="B52" s="20" t="s">
        <v>55</v>
      </c>
      <c r="C52" s="140" t="s">
        <v>56</v>
      </c>
      <c r="D52" s="140" t="s">
        <v>57</v>
      </c>
      <c r="E52" s="141">
        <v>2.0</v>
      </c>
      <c r="F52" s="141">
        <v>12.0</v>
      </c>
      <c r="G52" s="152">
        <v>41940.0</v>
      </c>
      <c r="H52" s="152">
        <v>42304.0</v>
      </c>
      <c r="I52" s="136">
        <v>399.0</v>
      </c>
      <c r="J52" s="136">
        <v>399.0</v>
      </c>
      <c r="K52" s="136">
        <f>J52*F52*E52</f>
        <v>9576</v>
      </c>
      <c r="L52" s="136"/>
      <c r="M52" s="136"/>
      <c r="N52" s="145" t="s">
        <v>24</v>
      </c>
      <c r="O52" s="141">
        <v>30.0</v>
      </c>
      <c r="P52" s="82"/>
      <c r="Q52" s="136">
        <f>K52*(1-O52/100)</f>
        <v>6703.2</v>
      </c>
      <c r="R52" s="135" t="s">
        <v>49</v>
      </c>
      <c r="S52" s="136">
        <f>Q52*(1-O70/100)</f>
        <v>6032.88</v>
      </c>
      <c r="T52" s="16"/>
      <c r="U52" s="16"/>
      <c r="V52" s="16"/>
      <c r="W52" s="16"/>
      <c r="X52" s="16"/>
      <c r="Z52" s="16"/>
      <c r="AA52" s="16"/>
      <c r="AC52" s="16"/>
    </row>
    <row r="53" ht="30.0" customHeight="1">
      <c r="A53" s="147" t="s">
        <v>78</v>
      </c>
      <c r="B53" s="148"/>
      <c r="C53" s="153"/>
      <c r="D53" s="153"/>
      <c r="E53" s="154"/>
      <c r="F53" s="154"/>
      <c r="G53" s="159"/>
      <c r="H53" s="159"/>
      <c r="I53" s="155"/>
      <c r="J53" s="155"/>
      <c r="K53" s="155"/>
      <c r="L53" s="155"/>
      <c r="M53" s="155"/>
      <c r="N53" s="156"/>
      <c r="O53" s="157"/>
      <c r="P53" s="153"/>
      <c r="Q53" s="153"/>
      <c r="R53" s="158"/>
      <c r="S53" s="129">
        <f>SUM(S55:S57)</f>
        <v>2935.53</v>
      </c>
      <c r="T53" s="16"/>
      <c r="U53" s="16"/>
      <c r="V53" s="16"/>
      <c r="W53" s="16"/>
      <c r="X53" s="16"/>
      <c r="Z53" s="16"/>
      <c r="AA53" s="16"/>
      <c r="AC53" s="16"/>
    </row>
    <row r="54" ht="30.0" customHeight="1">
      <c r="A54" s="160" t="s">
        <v>79</v>
      </c>
      <c r="B54" s="161" t="s">
        <v>70</v>
      </c>
      <c r="C54" s="162"/>
      <c r="D54" s="162" t="s">
        <v>80</v>
      </c>
      <c r="E54" s="163"/>
      <c r="F54" s="163"/>
      <c r="G54" s="164"/>
      <c r="H54" s="164"/>
      <c r="I54" s="165"/>
      <c r="J54" s="165"/>
      <c r="K54" s="165">
        <f>SUM(K55:K57)</f>
        <v>3644</v>
      </c>
      <c r="L54" s="165"/>
      <c r="M54" s="155"/>
      <c r="N54" s="166" t="s">
        <v>24</v>
      </c>
      <c r="O54" s="167">
        <f>(K54-Q54)*100/K54</f>
        <v>10.49121844</v>
      </c>
      <c r="P54" s="82"/>
      <c r="Q54" s="165">
        <f>SUM(Q55:Q57)</f>
        <v>3261.7</v>
      </c>
      <c r="R54" s="168" t="str">
        <f>R55</f>
        <v>Approval required</v>
      </c>
      <c r="S54" s="169">
        <f>SUM(S55:S57)</f>
        <v>2935.53</v>
      </c>
      <c r="T54" s="16"/>
      <c r="U54" s="16"/>
      <c r="V54" s="16"/>
      <c r="W54" s="16"/>
      <c r="X54" s="16"/>
      <c r="Z54" s="16"/>
      <c r="AA54" s="16"/>
      <c r="AC54" s="16"/>
    </row>
    <row r="55" ht="30.0" customHeight="1">
      <c r="A55" s="139" t="s">
        <v>79</v>
      </c>
      <c r="B55" s="20" t="s">
        <v>70</v>
      </c>
      <c r="C55" s="140"/>
      <c r="D55" s="140" t="s">
        <v>52</v>
      </c>
      <c r="E55" s="141">
        <v>1.0</v>
      </c>
      <c r="F55" s="142"/>
      <c r="G55" s="142"/>
      <c r="H55" s="142"/>
      <c r="I55" s="136">
        <v>3490.0</v>
      </c>
      <c r="J55" s="136">
        <v>3490.0</v>
      </c>
      <c r="K55" s="136">
        <f t="shared" ref="K55:K57" si="19">J55</f>
        <v>3490</v>
      </c>
      <c r="L55" s="136"/>
      <c r="M55" s="136"/>
      <c r="N55" s="145" t="s">
        <v>24</v>
      </c>
      <c r="O55" s="141">
        <v>10.0</v>
      </c>
      <c r="P55" s="35"/>
      <c r="Q55" s="136">
        <f t="shared" ref="Q55:Q57" si="20">K55*(1-O55/100)</f>
        <v>3141</v>
      </c>
      <c r="R55" s="135" t="s">
        <v>49</v>
      </c>
      <c r="S55" s="136">
        <f>Q55*(1-O62/100)</f>
        <v>2826.9</v>
      </c>
      <c r="T55" s="16"/>
      <c r="U55" s="16"/>
      <c r="V55" s="16"/>
      <c r="W55" s="16"/>
      <c r="X55" s="16"/>
      <c r="Z55" s="16"/>
      <c r="AA55" s="16"/>
      <c r="AC55" s="16"/>
    </row>
    <row r="56" ht="30.0" customHeight="1">
      <c r="A56" s="139" t="s">
        <v>79</v>
      </c>
      <c r="B56" s="20" t="s">
        <v>70</v>
      </c>
      <c r="C56" s="140"/>
      <c r="D56" s="140" t="s">
        <v>53</v>
      </c>
      <c r="E56" s="141">
        <v>2.0</v>
      </c>
      <c r="F56" s="142"/>
      <c r="G56" s="142"/>
      <c r="H56" s="142"/>
      <c r="I56" s="136">
        <v>129.0</v>
      </c>
      <c r="J56" s="136">
        <v>129.0</v>
      </c>
      <c r="K56" s="136">
        <f t="shared" si="19"/>
        <v>129</v>
      </c>
      <c r="L56" s="136"/>
      <c r="M56" s="136"/>
      <c r="N56" s="145" t="s">
        <v>24</v>
      </c>
      <c r="O56" s="141">
        <v>20.0</v>
      </c>
      <c r="P56" s="99"/>
      <c r="Q56" s="136">
        <f t="shared" si="20"/>
        <v>103.2</v>
      </c>
      <c r="R56" s="135" t="s">
        <v>49</v>
      </c>
      <c r="S56" s="136">
        <f>Q56*(1-O65/100)</f>
        <v>92.88</v>
      </c>
      <c r="T56" s="137"/>
      <c r="U56" s="137"/>
      <c r="V56" s="137"/>
      <c r="W56" s="137"/>
      <c r="X56" s="137"/>
      <c r="Y56" s="137"/>
      <c r="Z56" s="137"/>
      <c r="AA56" s="137"/>
      <c r="AB56" s="137"/>
      <c r="AC56" s="137"/>
    </row>
    <row r="57" ht="30.0" customHeight="1">
      <c r="A57" s="139" t="s">
        <v>79</v>
      </c>
      <c r="B57" s="20" t="s">
        <v>70</v>
      </c>
      <c r="C57" s="140"/>
      <c r="D57" s="140" t="s">
        <v>81</v>
      </c>
      <c r="E57" s="141">
        <v>1.0</v>
      </c>
      <c r="F57" s="142"/>
      <c r="G57" s="142"/>
      <c r="H57" s="142"/>
      <c r="I57" s="136">
        <v>25.0</v>
      </c>
      <c r="J57" s="136">
        <v>25.0</v>
      </c>
      <c r="K57" s="136">
        <f t="shared" si="19"/>
        <v>25</v>
      </c>
      <c r="L57" s="136"/>
      <c r="M57" s="136"/>
      <c r="N57" s="145" t="s">
        <v>24</v>
      </c>
      <c r="O57" s="141">
        <v>30.0</v>
      </c>
      <c r="P57" s="82"/>
      <c r="Q57" s="136">
        <f t="shared" si="20"/>
        <v>17.5</v>
      </c>
      <c r="R57" s="135" t="s">
        <v>49</v>
      </c>
      <c r="S57" s="136">
        <f>Q57*(1-O67/100)</f>
        <v>15.75</v>
      </c>
      <c r="T57" s="170"/>
      <c r="U57" s="170"/>
      <c r="V57" s="170"/>
      <c r="W57" s="170"/>
      <c r="X57" s="170"/>
      <c r="Y57" s="170"/>
      <c r="Z57" s="170"/>
      <c r="AA57" s="170"/>
      <c r="AB57" s="170"/>
      <c r="AC57" s="170"/>
    </row>
    <row r="58" ht="30.0" customHeight="1">
      <c r="A58" s="147" t="s">
        <v>82</v>
      </c>
      <c r="B58" s="148"/>
      <c r="C58" s="149"/>
      <c r="D58" s="149"/>
      <c r="E58" s="150"/>
      <c r="F58" s="150"/>
      <c r="G58" s="150"/>
      <c r="H58" s="150"/>
      <c r="I58" s="149"/>
      <c r="J58" s="149"/>
      <c r="K58" s="149"/>
      <c r="L58" s="149"/>
      <c r="M58" s="149"/>
      <c r="N58" s="149"/>
      <c r="O58" s="149"/>
      <c r="P58" s="149"/>
      <c r="Q58" s="149"/>
      <c r="R58" s="151"/>
      <c r="S58" s="149"/>
      <c r="T58" s="16"/>
      <c r="U58" s="16"/>
      <c r="V58" s="16"/>
      <c r="W58" s="16"/>
      <c r="X58" s="16"/>
      <c r="Z58" s="16"/>
      <c r="AA58" s="16"/>
      <c r="AC58" s="16"/>
    </row>
    <row r="59" ht="30.0" customHeight="1">
      <c r="A59" s="21" t="s">
        <v>43</v>
      </c>
      <c r="B59" s="171"/>
      <c r="C59" s="172"/>
      <c r="D59" s="172"/>
      <c r="E59" s="173"/>
      <c r="F59" s="173"/>
      <c r="G59" s="173"/>
      <c r="H59" s="173"/>
      <c r="I59" s="172"/>
      <c r="J59" s="172"/>
      <c r="K59" s="172"/>
      <c r="L59" s="172"/>
      <c r="M59" s="172"/>
      <c r="N59" s="172"/>
      <c r="O59" s="172"/>
      <c r="P59" s="172"/>
      <c r="Q59" s="172"/>
      <c r="R59" s="174"/>
      <c r="S59" s="175">
        <f>SUM(S60,S62,S65,S67)</f>
        <v>3097.53</v>
      </c>
      <c r="T59" s="16"/>
      <c r="U59" s="16"/>
      <c r="V59" s="16"/>
      <c r="W59" s="16"/>
      <c r="X59" s="16"/>
      <c r="Z59" s="16"/>
      <c r="AA59" s="16"/>
      <c r="AC59" s="16"/>
    </row>
    <row r="60" ht="30.0" customHeight="1">
      <c r="A60" s="21" t="s">
        <v>48</v>
      </c>
      <c r="B60" s="171"/>
      <c r="C60" s="172"/>
      <c r="D60" s="172"/>
      <c r="E60" s="173"/>
      <c r="F60" s="173"/>
      <c r="G60" s="173"/>
      <c r="H60" s="173"/>
      <c r="I60" s="172"/>
      <c r="J60" s="172"/>
      <c r="K60" s="172"/>
      <c r="L60" s="172"/>
      <c r="M60" s="172"/>
      <c r="N60" s="176" t="s">
        <v>24</v>
      </c>
      <c r="O60" s="177">
        <v>10.0</v>
      </c>
      <c r="P60" s="178"/>
      <c r="Q60" s="175">
        <f>Q61</f>
        <v>180</v>
      </c>
      <c r="R60" s="174"/>
      <c r="S60" s="175">
        <f>S61</f>
        <v>162</v>
      </c>
      <c r="T60" s="16"/>
      <c r="U60" s="16"/>
      <c r="V60" s="16"/>
      <c r="W60" s="16"/>
      <c r="X60" s="16"/>
      <c r="Z60" s="16"/>
      <c r="AA60" s="16"/>
      <c r="AC60" s="16"/>
    </row>
    <row r="61" ht="30.0" customHeight="1">
      <c r="A61" s="139" t="s">
        <v>69</v>
      </c>
      <c r="B61" s="20"/>
      <c r="C61" s="140"/>
      <c r="D61" s="140"/>
      <c r="E61" s="141">
        <v>2.0</v>
      </c>
      <c r="F61" s="142"/>
      <c r="G61" s="143"/>
      <c r="H61" s="143"/>
      <c r="I61" s="144">
        <v>125.0</v>
      </c>
      <c r="J61" s="144">
        <v>100.0</v>
      </c>
      <c r="K61" s="136">
        <f>J61*E61</f>
        <v>200</v>
      </c>
      <c r="L61" s="140"/>
      <c r="M61" s="140"/>
      <c r="N61" s="145" t="s">
        <v>24</v>
      </c>
      <c r="O61" s="141">
        <f>O46</f>
        <v>10</v>
      </c>
      <c r="P61" s="178"/>
      <c r="Q61" s="136">
        <f>Q46</f>
        <v>180</v>
      </c>
      <c r="R61" s="146"/>
      <c r="S61" s="136">
        <f>Q61*(1-O60/100)</f>
        <v>162</v>
      </c>
      <c r="T61" s="16"/>
      <c r="U61" s="16"/>
      <c r="V61" s="16"/>
      <c r="W61" s="16"/>
      <c r="X61" s="16"/>
      <c r="Z61" s="16"/>
      <c r="AA61" s="16"/>
      <c r="AC61" s="16"/>
    </row>
    <row r="62" ht="30.0" customHeight="1">
      <c r="A62" s="21" t="s">
        <v>52</v>
      </c>
      <c r="B62" s="20"/>
      <c r="C62" s="140"/>
      <c r="D62" s="140"/>
      <c r="E62" s="142"/>
      <c r="F62" s="142"/>
      <c r="G62" s="143"/>
      <c r="H62" s="143"/>
      <c r="I62" s="144"/>
      <c r="J62" s="144"/>
      <c r="K62" s="136"/>
      <c r="L62" s="140"/>
      <c r="M62" s="140"/>
      <c r="N62" s="179" t="s">
        <v>24</v>
      </c>
      <c r="O62" s="177">
        <v>10.0</v>
      </c>
      <c r="P62" s="57"/>
      <c r="Q62" s="175">
        <f>SUM(Q63:Q64)</f>
        <v>3141</v>
      </c>
      <c r="R62" s="146"/>
      <c r="S62" s="175">
        <f>S63+S64</f>
        <v>2826.9</v>
      </c>
      <c r="T62" s="16"/>
      <c r="U62" s="16"/>
      <c r="V62" s="16"/>
      <c r="W62" s="16"/>
      <c r="X62" s="16"/>
      <c r="Z62" s="16"/>
      <c r="AA62" s="16"/>
      <c r="AC62" s="16"/>
    </row>
    <row r="63" ht="30.0" customHeight="1">
      <c r="A63" s="139" t="s">
        <v>74</v>
      </c>
      <c r="B63" s="180" t="s">
        <v>70</v>
      </c>
      <c r="C63" s="180"/>
      <c r="D63" s="140"/>
      <c r="E63" s="141">
        <v>1.0</v>
      </c>
      <c r="F63" s="142"/>
      <c r="G63" s="142"/>
      <c r="H63" s="142"/>
      <c r="I63" s="136">
        <v>0.0</v>
      </c>
      <c r="J63" s="136">
        <v>0.0</v>
      </c>
      <c r="K63" s="136">
        <f t="shared" ref="K63:K64" si="21">J63</f>
        <v>0</v>
      </c>
      <c r="L63" s="136"/>
      <c r="M63" s="136"/>
      <c r="N63" s="145" t="s">
        <v>24</v>
      </c>
      <c r="O63" s="141">
        <f>O50</f>
        <v>0</v>
      </c>
      <c r="P63" s="178"/>
      <c r="Q63" s="136">
        <f>S50</f>
        <v>0</v>
      </c>
      <c r="R63" s="135"/>
      <c r="S63" s="136">
        <f>Q63*(1-O62/100)</f>
        <v>0</v>
      </c>
      <c r="T63" s="16"/>
      <c r="U63" s="16"/>
      <c r="V63" s="16"/>
      <c r="W63" s="16"/>
      <c r="X63" s="16"/>
      <c r="Z63" s="16"/>
      <c r="AA63" s="16"/>
      <c r="AC63" s="16"/>
    </row>
    <row r="64" ht="30.0" customHeight="1">
      <c r="A64" s="139" t="s">
        <v>79</v>
      </c>
      <c r="B64" s="180" t="s">
        <v>70</v>
      </c>
      <c r="C64" s="180"/>
      <c r="D64" s="140"/>
      <c r="E64" s="141">
        <v>1.0</v>
      </c>
      <c r="F64" s="142"/>
      <c r="G64" s="142"/>
      <c r="H64" s="142"/>
      <c r="I64" s="136">
        <v>3490.0</v>
      </c>
      <c r="J64" s="136">
        <v>3490.0</v>
      </c>
      <c r="K64" s="136">
        <f t="shared" si="21"/>
        <v>3490</v>
      </c>
      <c r="L64" s="136"/>
      <c r="M64" s="136"/>
      <c r="N64" s="145" t="s">
        <v>24</v>
      </c>
      <c r="O64" s="141">
        <f>O55</f>
        <v>10</v>
      </c>
      <c r="P64" s="35"/>
      <c r="Q64" s="136">
        <f>Q55</f>
        <v>3141</v>
      </c>
      <c r="R64" s="135" t="s">
        <v>49</v>
      </c>
      <c r="S64" s="136">
        <f>Q64*(1-O62/100)</f>
        <v>2826.9</v>
      </c>
      <c r="T64" s="16"/>
      <c r="U64" s="16"/>
      <c r="V64" s="16"/>
      <c r="W64" s="16"/>
      <c r="X64" s="16"/>
      <c r="Z64" s="16"/>
      <c r="AA64" s="16"/>
      <c r="AC64" s="16"/>
    </row>
    <row r="65" ht="30.0" customHeight="1">
      <c r="A65" s="21" t="s">
        <v>53</v>
      </c>
      <c r="B65" s="180"/>
      <c r="C65" s="180"/>
      <c r="D65" s="140"/>
      <c r="E65" s="142"/>
      <c r="F65" s="142"/>
      <c r="G65" s="142"/>
      <c r="H65" s="142"/>
      <c r="I65" s="136"/>
      <c r="J65" s="136"/>
      <c r="K65" s="136"/>
      <c r="L65" s="136"/>
      <c r="M65" s="136"/>
      <c r="N65" s="179" t="s">
        <v>24</v>
      </c>
      <c r="O65" s="177">
        <v>10.0</v>
      </c>
      <c r="P65" s="57"/>
      <c r="Q65" s="175">
        <f>Q66</f>
        <v>103.2</v>
      </c>
      <c r="R65" s="135"/>
      <c r="S65" s="175">
        <f>S66</f>
        <v>92.88</v>
      </c>
      <c r="T65" s="16"/>
      <c r="U65" s="16"/>
      <c r="V65" s="16"/>
      <c r="W65" s="16"/>
      <c r="X65" s="16"/>
      <c r="Z65" s="16"/>
      <c r="AA65" s="16"/>
      <c r="AC65" s="16"/>
    </row>
    <row r="66" ht="30.0" customHeight="1">
      <c r="A66" s="139" t="s">
        <v>79</v>
      </c>
      <c r="B66" s="180" t="s">
        <v>70</v>
      </c>
      <c r="C66" s="180"/>
      <c r="D66" s="140"/>
      <c r="E66" s="141">
        <v>2.0</v>
      </c>
      <c r="F66" s="142"/>
      <c r="G66" s="142"/>
      <c r="H66" s="142"/>
      <c r="I66" s="136">
        <v>129.0</v>
      </c>
      <c r="J66" s="136">
        <v>129.0</v>
      </c>
      <c r="K66" s="136">
        <f>J66</f>
        <v>129</v>
      </c>
      <c r="L66" s="136"/>
      <c r="M66" s="136"/>
      <c r="N66" s="145" t="s">
        <v>24</v>
      </c>
      <c r="O66" s="141">
        <f>O56</f>
        <v>20</v>
      </c>
      <c r="P66" s="99"/>
      <c r="Q66" s="136">
        <f>Q56</f>
        <v>103.2</v>
      </c>
      <c r="R66" s="135" t="s">
        <v>49</v>
      </c>
      <c r="S66" s="136">
        <f>Q66*(1-O65/100)</f>
        <v>92.88</v>
      </c>
      <c r="T66" s="137"/>
      <c r="U66" s="137"/>
      <c r="V66" s="137"/>
      <c r="W66" s="137"/>
      <c r="X66" s="137"/>
      <c r="Y66" s="137"/>
      <c r="Z66" s="137"/>
      <c r="AA66" s="137"/>
      <c r="AB66" s="137"/>
      <c r="AC66" s="137"/>
    </row>
    <row r="67" ht="30.0" customHeight="1">
      <c r="A67" s="21" t="s">
        <v>81</v>
      </c>
      <c r="B67" s="180"/>
      <c r="C67" s="180"/>
      <c r="D67" s="140"/>
      <c r="E67" s="142"/>
      <c r="F67" s="142"/>
      <c r="G67" s="142"/>
      <c r="H67" s="142"/>
      <c r="I67" s="136"/>
      <c r="J67" s="136"/>
      <c r="K67" s="136"/>
      <c r="L67" s="136"/>
      <c r="M67" s="136"/>
      <c r="N67" s="179" t="s">
        <v>24</v>
      </c>
      <c r="O67" s="177">
        <v>10.0</v>
      </c>
      <c r="P67" s="57"/>
      <c r="Q67" s="175">
        <f>Q68</f>
        <v>17.5</v>
      </c>
      <c r="R67" s="135"/>
      <c r="S67" s="175">
        <f>S68</f>
        <v>15.75</v>
      </c>
      <c r="T67" s="137"/>
      <c r="U67" s="137"/>
      <c r="V67" s="137"/>
      <c r="W67" s="137"/>
      <c r="X67" s="137"/>
      <c r="Y67" s="137"/>
      <c r="Z67" s="137"/>
      <c r="AA67" s="137"/>
      <c r="AB67" s="137"/>
      <c r="AC67" s="137"/>
    </row>
    <row r="68" ht="30.0" customHeight="1">
      <c r="A68" s="139" t="s">
        <v>79</v>
      </c>
      <c r="B68" s="180" t="s">
        <v>70</v>
      </c>
      <c r="C68" s="180"/>
      <c r="D68" s="140"/>
      <c r="E68" s="141">
        <v>1.0</v>
      </c>
      <c r="F68" s="142"/>
      <c r="G68" s="142"/>
      <c r="H68" s="142"/>
      <c r="I68" s="136">
        <v>25.0</v>
      </c>
      <c r="J68" s="136">
        <v>25.0</v>
      </c>
      <c r="K68" s="136">
        <f>J68</f>
        <v>25</v>
      </c>
      <c r="L68" s="136"/>
      <c r="M68" s="136"/>
      <c r="N68" s="145" t="s">
        <v>24</v>
      </c>
      <c r="O68" s="141">
        <f>O57</f>
        <v>30</v>
      </c>
      <c r="P68" s="82"/>
      <c r="Q68" s="136">
        <f>Q57</f>
        <v>17.5</v>
      </c>
      <c r="R68" s="135" t="s">
        <v>49</v>
      </c>
      <c r="S68" s="136">
        <f>Q68*(1-O67/100)</f>
        <v>15.75</v>
      </c>
      <c r="T68" s="16"/>
      <c r="U68" s="16"/>
      <c r="V68" s="16"/>
      <c r="W68" s="16"/>
      <c r="X68" s="16"/>
      <c r="Z68" s="16"/>
      <c r="AA68" s="16"/>
      <c r="AC68" s="16"/>
    </row>
    <row r="69" ht="30.0" customHeight="1">
      <c r="A69" s="147" t="s">
        <v>44</v>
      </c>
      <c r="B69" s="181"/>
      <c r="C69" s="182"/>
      <c r="D69" s="182"/>
      <c r="E69" s="183"/>
      <c r="F69" s="183"/>
      <c r="G69" s="183"/>
      <c r="H69" s="183"/>
      <c r="I69" s="182"/>
      <c r="J69" s="182"/>
      <c r="K69" s="182"/>
      <c r="L69" s="182"/>
      <c r="M69" s="182"/>
      <c r="N69" s="149"/>
      <c r="O69" s="149"/>
      <c r="P69" s="149"/>
      <c r="Q69" s="149"/>
      <c r="R69" s="151"/>
      <c r="S69" s="129">
        <f>S70</f>
        <v>13303.44</v>
      </c>
      <c r="T69" s="16"/>
      <c r="U69" s="16"/>
      <c r="V69" s="16"/>
      <c r="W69" s="16"/>
      <c r="X69" s="16"/>
      <c r="Z69" s="16"/>
      <c r="AA69" s="16"/>
      <c r="AC69" s="16"/>
    </row>
    <row r="70" ht="30.0" customHeight="1">
      <c r="A70" s="147" t="s">
        <v>57</v>
      </c>
      <c r="B70" s="181"/>
      <c r="C70" s="182"/>
      <c r="D70" s="182"/>
      <c r="E70" s="184">
        <v>2.0</v>
      </c>
      <c r="F70" s="184">
        <v>12.0</v>
      </c>
      <c r="G70" s="185">
        <v>41940.0</v>
      </c>
      <c r="H70" s="185">
        <v>42304.0</v>
      </c>
      <c r="I70" s="186"/>
      <c r="J70" s="186"/>
      <c r="K70" s="187">
        <f>K71+K72</f>
        <v>18552</v>
      </c>
      <c r="L70" s="182"/>
      <c r="M70" s="182"/>
      <c r="N70" s="145" t="s">
        <v>24</v>
      </c>
      <c r="O70" s="141">
        <v>10.0</v>
      </c>
      <c r="P70" s="188"/>
      <c r="Q70" s="175">
        <f>SUM(Q71:Q72)</f>
        <v>14781.6</v>
      </c>
      <c r="R70" s="151"/>
      <c r="S70" s="129">
        <f>S71+S72</f>
        <v>13303.44</v>
      </c>
      <c r="T70" s="16"/>
      <c r="U70" s="16"/>
      <c r="V70" s="16"/>
      <c r="W70" s="16"/>
      <c r="X70" s="16"/>
      <c r="Z70" s="16"/>
      <c r="AA70" s="16"/>
      <c r="AC70" s="16"/>
    </row>
    <row r="71" ht="30.0" customHeight="1">
      <c r="A71" s="139" t="s">
        <v>75</v>
      </c>
      <c r="B71" s="180" t="s">
        <v>55</v>
      </c>
      <c r="C71" s="180" t="s">
        <v>56</v>
      </c>
      <c r="D71" s="180" t="s">
        <v>57</v>
      </c>
      <c r="E71" s="141">
        <v>2.0</v>
      </c>
      <c r="F71" s="141">
        <v>12.0</v>
      </c>
      <c r="G71" s="152">
        <v>41940.0</v>
      </c>
      <c r="H71" s="152">
        <v>42304.0</v>
      </c>
      <c r="I71" s="136">
        <v>374.0</v>
      </c>
      <c r="J71" s="136">
        <v>374.0</v>
      </c>
      <c r="K71" s="136">
        <f t="shared" ref="K71:K72" si="22">J71*F71*E71</f>
        <v>8976</v>
      </c>
      <c r="L71" s="180"/>
      <c r="M71" s="180"/>
      <c r="N71" s="145" t="s">
        <v>24</v>
      </c>
      <c r="O71" s="141">
        <f>O49</f>
        <v>10</v>
      </c>
      <c r="P71" s="35"/>
      <c r="Q71" s="136">
        <f>Q49</f>
        <v>8078.4</v>
      </c>
      <c r="R71" s="135" t="s">
        <v>49</v>
      </c>
      <c r="S71" s="136">
        <f>Q71*(1-O70/100)</f>
        <v>7270.56</v>
      </c>
      <c r="T71" s="16"/>
      <c r="U71" s="16"/>
      <c r="V71" s="16"/>
      <c r="W71" s="16"/>
      <c r="X71" s="16"/>
      <c r="Z71" s="16"/>
      <c r="AA71" s="16"/>
      <c r="AC71" s="16"/>
    </row>
    <row r="72" ht="30.0" customHeight="1">
      <c r="A72" s="139" t="s">
        <v>83</v>
      </c>
      <c r="B72" s="180" t="s">
        <v>55</v>
      </c>
      <c r="C72" s="180" t="s">
        <v>56</v>
      </c>
      <c r="D72" s="180" t="s">
        <v>57</v>
      </c>
      <c r="E72" s="141">
        <v>2.0</v>
      </c>
      <c r="F72" s="141">
        <v>12.0</v>
      </c>
      <c r="G72" s="152">
        <v>41940.0</v>
      </c>
      <c r="H72" s="152">
        <v>42304.0</v>
      </c>
      <c r="I72" s="136">
        <v>399.0</v>
      </c>
      <c r="J72" s="136">
        <v>399.0</v>
      </c>
      <c r="K72" s="136">
        <f t="shared" si="22"/>
        <v>9576</v>
      </c>
      <c r="L72" s="180"/>
      <c r="M72" s="180"/>
      <c r="N72" s="145" t="s">
        <v>24</v>
      </c>
      <c r="O72" s="141">
        <f>O52</f>
        <v>30</v>
      </c>
      <c r="P72" s="82"/>
      <c r="Q72" s="136">
        <f>Q52</f>
        <v>6703.2</v>
      </c>
      <c r="R72" s="135" t="s">
        <v>49</v>
      </c>
      <c r="S72" s="136">
        <f>Q72*(1-O70/100)</f>
        <v>6032.88</v>
      </c>
      <c r="T72" s="16"/>
      <c r="U72" s="16"/>
      <c r="V72" s="16"/>
      <c r="W72" s="16"/>
      <c r="X72" s="16"/>
      <c r="Z72" s="16"/>
      <c r="AA72" s="16"/>
      <c r="AC72" s="16"/>
    </row>
    <row r="73" ht="30.0" customHeight="1">
      <c r="A73" s="16"/>
      <c r="B73" s="17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23"/>
      <c r="S73" s="16"/>
      <c r="T73" s="16"/>
      <c r="U73" s="16"/>
      <c r="V73" s="16"/>
      <c r="W73" s="16"/>
      <c r="X73" s="16"/>
      <c r="Z73" s="16"/>
      <c r="AA73" s="16"/>
      <c r="AC73" s="16"/>
    </row>
    <row r="74" ht="30.0" customHeight="1">
      <c r="A74" s="38" t="s">
        <v>84</v>
      </c>
      <c r="B74" s="189"/>
      <c r="C74" s="38"/>
      <c r="D74" s="38" t="s">
        <v>41</v>
      </c>
      <c r="E74" s="38" t="s">
        <v>42</v>
      </c>
      <c r="F74" s="38"/>
      <c r="G74" s="38"/>
      <c r="H74" s="38"/>
      <c r="I74" s="38"/>
      <c r="J74" s="38"/>
      <c r="K74" s="38"/>
      <c r="L74" s="38"/>
      <c r="M74" s="190">
        <f>K79+K81+K82</f>
        <v>786000</v>
      </c>
      <c r="N74" s="191" t="s">
        <v>24</v>
      </c>
      <c r="O74" s="38">
        <v>10.0</v>
      </c>
      <c r="P74" s="35"/>
      <c r="Q74" s="38"/>
      <c r="R74" s="38" t="s">
        <v>49</v>
      </c>
      <c r="S74" s="190">
        <f>S75+S76</f>
        <v>636660</v>
      </c>
      <c r="T74" s="38"/>
      <c r="U74" s="192">
        <v>636660.0</v>
      </c>
      <c r="V74" s="38"/>
      <c r="W74" s="38"/>
      <c r="X74" s="38"/>
      <c r="Y74" s="38"/>
      <c r="Z74" s="38"/>
      <c r="AA74" s="38"/>
      <c r="AB74" s="38"/>
      <c r="AC74" s="38"/>
    </row>
    <row r="75" ht="30.0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23" t="s">
        <v>85</v>
      </c>
      <c r="S75" s="193">
        <f>S79</f>
        <v>243000</v>
      </c>
      <c r="T75" s="16"/>
      <c r="U75" s="16">
        <f>SUM(U2:U74)</f>
        <v>657241.11</v>
      </c>
      <c r="V75" s="133" t="s">
        <v>86</v>
      </c>
      <c r="W75" s="16"/>
      <c r="X75" s="16"/>
      <c r="Z75" s="16"/>
      <c r="AA75" s="16"/>
      <c r="AC75" s="16"/>
    </row>
    <row r="76" ht="30.0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23" t="s">
        <v>72</v>
      </c>
      <c r="S76" s="193">
        <f>S81+S82</f>
        <v>393660</v>
      </c>
      <c r="T76" s="16"/>
      <c r="U76" s="16"/>
      <c r="V76" s="16"/>
      <c r="W76" s="16"/>
      <c r="X76" s="16"/>
      <c r="Z76" s="16"/>
      <c r="AA76" s="16"/>
      <c r="AC76" s="16"/>
    </row>
    <row r="77" ht="30.0" customHeight="1">
      <c r="A77" s="40" t="s">
        <v>66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3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</row>
    <row r="78" ht="30.0" customHeight="1">
      <c r="A78" s="30" t="s">
        <v>43</v>
      </c>
      <c r="B78" s="40"/>
      <c r="C78" s="40"/>
      <c r="D78" s="40"/>
      <c r="E78" s="40"/>
      <c r="F78" s="40"/>
      <c r="G78" s="40"/>
      <c r="H78" s="40"/>
      <c r="I78" s="40"/>
      <c r="J78" s="40"/>
      <c r="K78" s="47">
        <f>K79</f>
        <v>300000</v>
      </c>
      <c r="L78" s="40"/>
      <c r="M78" s="40"/>
      <c r="N78" s="44" t="s">
        <v>24</v>
      </c>
      <c r="O78" s="45">
        <v>10.0</v>
      </c>
      <c r="P78" s="35"/>
      <c r="Q78" s="47">
        <f>Q79</f>
        <v>270000</v>
      </c>
      <c r="R78" s="38" t="s">
        <v>49</v>
      </c>
      <c r="S78" s="47">
        <f>Q78*(1-O78/100)</f>
        <v>243000</v>
      </c>
      <c r="T78" s="40"/>
      <c r="U78" s="40"/>
      <c r="V78" s="40"/>
      <c r="W78" s="40"/>
      <c r="X78" s="40"/>
      <c r="Y78" s="40"/>
      <c r="Z78" s="40"/>
      <c r="AA78" s="40"/>
      <c r="AB78" s="40"/>
      <c r="AC78" s="40"/>
    </row>
    <row r="79" ht="30.0" customHeight="1">
      <c r="A79" s="51" t="s">
        <v>84</v>
      </c>
      <c r="B79" s="46" t="s">
        <v>70</v>
      </c>
      <c r="C79" s="46"/>
      <c r="D79" s="46" t="s">
        <v>87</v>
      </c>
      <c r="E79" s="46">
        <v>1.0</v>
      </c>
      <c r="F79" s="46"/>
      <c r="G79" s="46"/>
      <c r="H79" s="46"/>
      <c r="I79" s="58">
        <v>300000.0</v>
      </c>
      <c r="J79" s="58">
        <v>300000.0</v>
      </c>
      <c r="K79" s="58">
        <f>J79*E79</f>
        <v>300000</v>
      </c>
      <c r="L79" s="46"/>
      <c r="M79" s="46"/>
      <c r="N79" s="55" t="str">
        <f>N74</f>
        <v>(%)</v>
      </c>
      <c r="O79" s="62">
        <v>10.0</v>
      </c>
      <c r="P79" s="188"/>
      <c r="Q79" s="58">
        <f>K79*(1-O79/100)</f>
        <v>270000</v>
      </c>
      <c r="R79" s="194"/>
      <c r="S79" s="58">
        <f>Q79*(1-O78/100)</f>
        <v>243000</v>
      </c>
      <c r="T79" s="46"/>
      <c r="U79" s="46"/>
      <c r="V79" s="46"/>
      <c r="W79" s="46"/>
      <c r="X79" s="46"/>
      <c r="Y79" s="46"/>
      <c r="Z79" s="46"/>
      <c r="AA79" s="46"/>
      <c r="AB79" s="46"/>
      <c r="AC79" s="46"/>
    </row>
    <row r="80" ht="30.0" customHeight="1">
      <c r="A80" s="30" t="s">
        <v>21</v>
      </c>
      <c r="B80" s="40"/>
      <c r="C80" s="40"/>
      <c r="D80" s="40"/>
      <c r="E80" s="40"/>
      <c r="F80" s="40"/>
      <c r="G80" s="40"/>
      <c r="H80" s="40"/>
      <c r="I80" s="40"/>
      <c r="J80" s="40"/>
      <c r="K80" s="47">
        <f>SUM(K81:K82)</f>
        <v>486000</v>
      </c>
      <c r="L80" s="40"/>
      <c r="M80" s="40"/>
      <c r="N80" s="44" t="s">
        <v>24</v>
      </c>
      <c r="O80" s="45">
        <v>10.0</v>
      </c>
      <c r="P80" s="35"/>
      <c r="Q80" s="47">
        <f>SUM(Q81:Q82)</f>
        <v>437400</v>
      </c>
      <c r="R80" s="38" t="s">
        <v>49</v>
      </c>
      <c r="S80" s="47">
        <f>Q80*(1-O80/100)</f>
        <v>393660</v>
      </c>
      <c r="T80" s="40"/>
      <c r="U80" s="40"/>
      <c r="V80" s="40"/>
      <c r="W80" s="40"/>
      <c r="X80" s="40"/>
      <c r="Y80" s="40"/>
      <c r="Z80" s="40"/>
      <c r="AA80" s="40"/>
      <c r="AB80" s="40"/>
      <c r="AC80" s="40"/>
    </row>
    <row r="81" ht="30.0" customHeight="1">
      <c r="A81" s="51" t="s">
        <v>84</v>
      </c>
      <c r="B81" s="46" t="s">
        <v>55</v>
      </c>
      <c r="C81" s="46" t="s">
        <v>56</v>
      </c>
      <c r="D81" s="46" t="s">
        <v>57</v>
      </c>
      <c r="E81" s="62">
        <v>100.0</v>
      </c>
      <c r="F81" s="62">
        <v>36.0</v>
      </c>
      <c r="G81" s="195">
        <v>41955.0</v>
      </c>
      <c r="H81" s="195">
        <v>43050.0</v>
      </c>
      <c r="I81" s="58">
        <v>125.0</v>
      </c>
      <c r="J81" s="58">
        <v>115.0</v>
      </c>
      <c r="K81" s="58">
        <f t="shared" ref="K81:K82" si="23">J81*F81*E81</f>
        <v>414000</v>
      </c>
      <c r="L81" s="46"/>
      <c r="M81" s="46"/>
      <c r="N81" s="55" t="str">
        <f>N74</f>
        <v>(%)</v>
      </c>
      <c r="O81" s="62">
        <v>10.0</v>
      </c>
      <c r="P81" s="188"/>
      <c r="Q81" s="58">
        <f t="shared" ref="Q81:Q82" si="24">K81*(1-O81/100)</f>
        <v>372600</v>
      </c>
      <c r="R81" s="194"/>
      <c r="S81" s="58">
        <f>Q81*(1-O80/100)</f>
        <v>335340</v>
      </c>
      <c r="T81" s="46"/>
      <c r="U81" s="46"/>
      <c r="V81" s="46"/>
      <c r="W81" s="46"/>
      <c r="X81" s="46"/>
      <c r="Y81" s="46"/>
      <c r="Z81" s="46"/>
      <c r="AA81" s="46"/>
      <c r="AB81" s="46"/>
      <c r="AC81" s="46"/>
    </row>
    <row r="82" ht="30.0" customHeight="1">
      <c r="A82" s="51" t="s">
        <v>84</v>
      </c>
      <c r="B82" s="46" t="s">
        <v>55</v>
      </c>
      <c r="C82" s="46" t="s">
        <v>88</v>
      </c>
      <c r="D82" s="46" t="s">
        <v>89</v>
      </c>
      <c r="E82" s="62">
        <v>1.0</v>
      </c>
      <c r="F82" s="62">
        <v>3.0</v>
      </c>
      <c r="G82" s="195">
        <v>41955.0</v>
      </c>
      <c r="H82" s="195">
        <v>43050.0</v>
      </c>
      <c r="I82" s="58">
        <v>25000.0</v>
      </c>
      <c r="J82" s="58">
        <v>24000.0</v>
      </c>
      <c r="K82" s="58">
        <f t="shared" si="23"/>
        <v>72000</v>
      </c>
      <c r="L82" s="46"/>
      <c r="M82" s="46"/>
      <c r="N82" s="55" t="str">
        <f>N74</f>
        <v>(%)</v>
      </c>
      <c r="O82" s="62">
        <v>10.0</v>
      </c>
      <c r="P82" s="188"/>
      <c r="Q82" s="58">
        <f t="shared" si="24"/>
        <v>64800</v>
      </c>
      <c r="R82" s="194"/>
      <c r="S82" s="58">
        <f>Q82*(1-O80/100)</f>
        <v>58320</v>
      </c>
      <c r="T82" s="46"/>
      <c r="U82" s="46"/>
      <c r="V82" s="46"/>
      <c r="W82" s="46"/>
      <c r="X82" s="46"/>
      <c r="Y82" s="46"/>
      <c r="Z82" s="46"/>
      <c r="AA82" s="46"/>
      <c r="AB82" s="46"/>
      <c r="AC82" s="46"/>
    </row>
    <row r="83" ht="30.0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23"/>
      <c r="S83" s="16"/>
      <c r="T83" s="16"/>
      <c r="U83" s="16"/>
      <c r="V83" s="16"/>
      <c r="W83" s="16"/>
      <c r="X83" s="16"/>
      <c r="Z83" s="16"/>
      <c r="AA83" s="16"/>
      <c r="AC83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44.14"/>
    <col customWidth="1" min="2" max="2" width="13.57"/>
    <col customWidth="1" min="3" max="3" width="21.86"/>
    <col customWidth="1" min="4" max="4" width="15.29"/>
    <col customWidth="1" min="5" max="5" width="11.29"/>
    <col customWidth="1" min="6" max="6" width="7.14"/>
    <col customWidth="1" min="7" max="7" width="12.86"/>
    <col customWidth="1" min="8" max="8" width="11.43"/>
    <col customWidth="1" min="9" max="9" width="11.57"/>
    <col customWidth="1" min="10" max="10" width="13.0"/>
    <col customWidth="1" min="11" max="11" width="24.71"/>
    <col customWidth="1" hidden="1" min="12" max="12" width="15.57"/>
    <col customWidth="1" min="13" max="13" width="11.86"/>
    <col customWidth="1" min="14" max="14" width="12.0"/>
    <col customWidth="1" min="15" max="15" width="11.86"/>
    <col customWidth="1" min="16" max="16" width="19.57"/>
    <col customWidth="1" min="17" max="17" width="12.14"/>
    <col customWidth="1" min="18" max="18" width="11.86"/>
  </cols>
  <sheetData>
    <row r="1" ht="36.75" customHeight="1">
      <c r="A1" s="69" t="s">
        <v>38</v>
      </c>
      <c r="B1" s="70" t="s">
        <v>1</v>
      </c>
      <c r="C1" s="71" t="s">
        <v>2</v>
      </c>
      <c r="D1" s="69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69" t="s">
        <v>8</v>
      </c>
      <c r="J1" s="69" t="s">
        <v>9</v>
      </c>
      <c r="K1" s="71" t="s">
        <v>11</v>
      </c>
      <c r="L1" s="73" t="s">
        <v>10</v>
      </c>
      <c r="M1" s="71" t="s">
        <v>13</v>
      </c>
      <c r="N1" s="71" t="s">
        <v>14</v>
      </c>
      <c r="O1" s="69" t="s">
        <v>15</v>
      </c>
      <c r="P1" s="74" t="s">
        <v>17</v>
      </c>
      <c r="Q1" s="71" t="s">
        <v>39</v>
      </c>
      <c r="R1" s="69" t="s">
        <v>18</v>
      </c>
    </row>
    <row r="2" ht="15.0" customHeight="1">
      <c r="A2" s="40" t="s">
        <v>90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ht="15.0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 t="s">
        <v>71</v>
      </c>
      <c r="Q3" s="16"/>
      <c r="R3" s="16"/>
    </row>
    <row r="4" ht="15.0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 t="s">
        <v>72</v>
      </c>
      <c r="Q4" s="16"/>
      <c r="R4" s="16"/>
    </row>
    <row r="5" ht="15.0" customHeight="1">
      <c r="A5" s="40" t="s">
        <v>28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ht="15.0" customHeight="1">
      <c r="A6" s="40" t="s">
        <v>46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ht="15.0" customHeight="1">
      <c r="A7" s="18" t="s">
        <v>91</v>
      </c>
      <c r="B7" s="16" t="s">
        <v>70</v>
      </c>
      <c r="C7" s="16"/>
      <c r="D7" s="16"/>
      <c r="E7" s="16">
        <v>1.0</v>
      </c>
      <c r="F7" s="16"/>
      <c r="G7" s="16"/>
      <c r="H7" s="16"/>
      <c r="I7" s="16">
        <v>0.0</v>
      </c>
      <c r="J7" s="16">
        <v>0.0</v>
      </c>
      <c r="K7" s="16">
        <v>0.0</v>
      </c>
      <c r="L7" s="16"/>
      <c r="M7" s="196" t="s">
        <v>24</v>
      </c>
      <c r="N7" s="196">
        <v>0.0</v>
      </c>
      <c r="O7" s="16"/>
      <c r="P7" s="16"/>
      <c r="Q7" s="16">
        <f>K7*(1-N7/100)</f>
        <v>0</v>
      </c>
      <c r="R7" s="16">
        <f>Q7</f>
        <v>0</v>
      </c>
    </row>
    <row r="8" ht="15.0" customHeight="1">
      <c r="A8" s="40" t="s">
        <v>92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15.0" customHeight="1">
      <c r="A9" s="30" t="s">
        <v>93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ht="15.0" customHeight="1">
      <c r="A10" s="51" t="s">
        <v>91</v>
      </c>
      <c r="B10" s="16" t="s">
        <v>55</v>
      </c>
      <c r="C10" s="16"/>
      <c r="D10" s="16" t="s">
        <v>94</v>
      </c>
      <c r="E10" s="16"/>
      <c r="F10" s="16"/>
      <c r="G10" s="16"/>
      <c r="H10" s="16"/>
      <c r="I10" s="16"/>
      <c r="J10" s="16">
        <v>7050.0</v>
      </c>
      <c r="K10" s="16"/>
      <c r="L10" s="16"/>
      <c r="M10" s="16"/>
      <c r="N10" s="16"/>
      <c r="O10" s="16"/>
      <c r="P10" s="16"/>
      <c r="Q10" s="16"/>
      <c r="R10" s="16"/>
    </row>
    <row r="11" ht="15.0" customHeight="1">
      <c r="A11" s="51" t="s">
        <v>91</v>
      </c>
      <c r="B11" s="16" t="s">
        <v>70</v>
      </c>
      <c r="C11" s="16"/>
      <c r="D11" s="16" t="s">
        <v>95</v>
      </c>
      <c r="E11" s="16"/>
      <c r="F11" s="16"/>
      <c r="G11" s="16"/>
      <c r="H11" s="16"/>
      <c r="I11" s="16"/>
      <c r="J11" s="16">
        <v>0.0</v>
      </c>
      <c r="K11" s="16"/>
      <c r="L11" s="16"/>
      <c r="M11" s="16"/>
      <c r="N11" s="16"/>
      <c r="O11" s="16"/>
      <c r="P11" s="16"/>
      <c r="Q11" s="16"/>
      <c r="R11" s="16"/>
    </row>
    <row r="12" ht="15.0" customHeight="1">
      <c r="A12" s="51" t="s">
        <v>91</v>
      </c>
      <c r="B12" s="16"/>
      <c r="C12" s="16"/>
      <c r="D12" s="16" t="s">
        <v>96</v>
      </c>
      <c r="E12" s="16"/>
      <c r="F12" s="16"/>
      <c r="G12" s="16"/>
      <c r="H12" s="16"/>
      <c r="I12" s="16"/>
      <c r="J12" s="16">
        <v>0.0</v>
      </c>
      <c r="K12" s="16"/>
      <c r="L12" s="16"/>
      <c r="M12" s="16"/>
      <c r="N12" s="16"/>
      <c r="O12" s="16"/>
      <c r="P12" s="16"/>
      <c r="Q12" s="16"/>
      <c r="R12" s="16"/>
    </row>
    <row r="13" ht="15.0" customHeight="1">
      <c r="A13" s="51" t="s">
        <v>91</v>
      </c>
      <c r="B13" s="16"/>
      <c r="C13" s="16"/>
      <c r="D13" s="16" t="s">
        <v>97</v>
      </c>
      <c r="E13" s="16"/>
      <c r="F13" s="16"/>
      <c r="G13" s="16"/>
      <c r="H13" s="16"/>
      <c r="I13" s="16"/>
      <c r="J13" s="16">
        <v>0.72</v>
      </c>
      <c r="K13" s="16"/>
      <c r="L13" s="16"/>
      <c r="M13" s="16"/>
      <c r="N13" s="16"/>
      <c r="O13" s="16"/>
      <c r="P13" s="16"/>
      <c r="Q13" s="16"/>
      <c r="R13" s="16"/>
    </row>
    <row r="14" ht="15.0" customHeight="1">
      <c r="A14" s="51" t="s">
        <v>98</v>
      </c>
      <c r="B14" s="16"/>
      <c r="C14" s="16"/>
      <c r="D14" s="16" t="s">
        <v>99</v>
      </c>
      <c r="E14" s="16"/>
      <c r="F14" s="16"/>
      <c r="G14" s="16"/>
      <c r="H14" s="16"/>
      <c r="I14" s="16"/>
      <c r="J14" s="16">
        <v>0.0</v>
      </c>
      <c r="K14" s="16"/>
      <c r="L14" s="16"/>
      <c r="M14" s="16"/>
      <c r="N14" s="16"/>
      <c r="O14" s="16"/>
      <c r="P14" s="16"/>
      <c r="Q14" s="16"/>
      <c r="R14" s="16"/>
    </row>
    <row r="15" ht="15.0" customHeight="1">
      <c r="A15" s="30" t="s">
        <v>100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ht="15.0" customHeight="1">
      <c r="A16" s="197" t="s">
        <v>101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ht="15.0" customHeight="1">
      <c r="A17" s="51" t="s">
        <v>102</v>
      </c>
      <c r="B17" s="16"/>
      <c r="C17" s="16"/>
      <c r="D17" s="16" t="s">
        <v>99</v>
      </c>
      <c r="E17" s="16"/>
      <c r="F17" s="16"/>
      <c r="G17" s="16"/>
      <c r="H17" s="16"/>
      <c r="I17" s="16"/>
      <c r="J17" s="16">
        <v>0.0</v>
      </c>
      <c r="K17" s="16"/>
      <c r="L17" s="16"/>
      <c r="M17" s="16"/>
      <c r="N17" s="16"/>
      <c r="O17" s="16"/>
      <c r="P17" s="16"/>
      <c r="Q17" s="16"/>
      <c r="R17" s="16"/>
    </row>
    <row r="18" ht="15.0" customHeight="1">
      <c r="A18" s="51" t="s">
        <v>103</v>
      </c>
      <c r="B18" s="16"/>
      <c r="C18" s="16"/>
      <c r="D18" s="16"/>
      <c r="E18" s="16"/>
      <c r="F18" s="16"/>
      <c r="G18" s="16"/>
      <c r="H18" s="16"/>
      <c r="I18" s="16"/>
      <c r="J18" s="16">
        <v>0.0</v>
      </c>
      <c r="K18" s="16"/>
      <c r="L18" s="16"/>
      <c r="M18" s="16"/>
      <c r="N18" s="16"/>
      <c r="O18" s="16"/>
      <c r="P18" s="16"/>
      <c r="Q18" s="16"/>
      <c r="R18" s="16"/>
    </row>
    <row r="19" ht="15.0" customHeight="1">
      <c r="A19" s="51" t="s">
        <v>104</v>
      </c>
      <c r="B19" s="16"/>
      <c r="C19" s="16"/>
      <c r="D19" s="16"/>
      <c r="E19" s="16"/>
      <c r="F19" s="16"/>
      <c r="G19" s="16"/>
      <c r="H19" s="16"/>
      <c r="I19" s="16"/>
      <c r="J19" s="16">
        <v>0.0</v>
      </c>
      <c r="K19" s="16"/>
      <c r="L19" s="16"/>
      <c r="M19" s="16"/>
      <c r="N19" s="16"/>
      <c r="O19" s="16"/>
      <c r="P19" s="16"/>
      <c r="Q19" s="16"/>
      <c r="R19" s="16"/>
    </row>
    <row r="20" ht="15.0" customHeight="1">
      <c r="A20" s="51" t="s">
        <v>105</v>
      </c>
      <c r="B20" s="16"/>
      <c r="C20" s="16"/>
      <c r="D20" s="16"/>
      <c r="E20" s="16"/>
      <c r="F20" s="16"/>
      <c r="G20" s="16"/>
      <c r="H20" s="16"/>
      <c r="I20" s="16"/>
      <c r="J20" s="16">
        <v>0.0</v>
      </c>
      <c r="K20" s="16"/>
      <c r="L20" s="16"/>
      <c r="M20" s="16"/>
      <c r="N20" s="16"/>
      <c r="O20" s="16"/>
      <c r="P20" s="16"/>
      <c r="Q20" s="16"/>
      <c r="R20" s="16"/>
    </row>
    <row r="21" ht="15.0" customHeight="1">
      <c r="A21" s="51" t="s">
        <v>106</v>
      </c>
      <c r="B21" s="16"/>
      <c r="C21" s="16"/>
      <c r="D21" s="16"/>
      <c r="E21" s="16"/>
      <c r="F21" s="16"/>
      <c r="G21" s="16"/>
      <c r="H21" s="16"/>
      <c r="I21" s="16"/>
      <c r="J21" s="16">
        <v>0.0</v>
      </c>
      <c r="K21" s="16"/>
      <c r="L21" s="16"/>
      <c r="M21" s="16"/>
      <c r="N21" s="16"/>
      <c r="O21" s="16"/>
      <c r="P21" s="16"/>
      <c r="Q21" s="16"/>
      <c r="R21" s="16"/>
    </row>
    <row r="22" ht="15.0" customHeight="1">
      <c r="A22" s="51" t="s">
        <v>107</v>
      </c>
      <c r="B22" s="16"/>
      <c r="C22" s="16"/>
      <c r="D22" s="16"/>
      <c r="E22" s="16"/>
      <c r="F22" s="16"/>
      <c r="G22" s="16"/>
      <c r="H22" s="16"/>
      <c r="I22" s="16"/>
      <c r="J22" s="16">
        <v>0.0</v>
      </c>
      <c r="K22" s="16"/>
      <c r="L22" s="16"/>
      <c r="M22" s="16"/>
      <c r="N22" s="16"/>
      <c r="O22" s="16"/>
      <c r="P22" s="16"/>
      <c r="Q22" s="16"/>
      <c r="R22" s="16"/>
    </row>
    <row r="23" ht="15.0" customHeight="1">
      <c r="A23" s="197" t="s">
        <v>108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ht="15.0" customHeight="1">
      <c r="A24" s="51" t="s">
        <v>109</v>
      </c>
      <c r="B24" s="16"/>
      <c r="C24" s="16"/>
      <c r="D24" s="16"/>
      <c r="E24" s="16"/>
      <c r="F24" s="16"/>
      <c r="G24" s="16"/>
      <c r="H24" s="16"/>
      <c r="I24" s="16"/>
      <c r="J24" s="16">
        <v>1200.0</v>
      </c>
      <c r="K24" s="16"/>
      <c r="L24" s="16"/>
      <c r="M24" s="16"/>
      <c r="N24" s="16"/>
      <c r="O24" s="16"/>
      <c r="P24" s="16"/>
      <c r="Q24" s="16"/>
      <c r="R24" s="16"/>
    </row>
    <row r="25" ht="15.0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ht="15.0" customHeight="1">
      <c r="A26" s="30" t="s">
        <v>35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3" width="1.43"/>
    <col customWidth="1" min="4" max="10" width="8.71"/>
  </cols>
  <sheetData>
    <row r="1" ht="15.0" customHeight="1">
      <c r="A1" s="16" t="s">
        <v>110</v>
      </c>
      <c r="B1" s="16"/>
      <c r="C1" s="16"/>
    </row>
    <row r="2" ht="15.0" customHeight="1">
      <c r="A2" s="16"/>
      <c r="B2" s="16" t="s">
        <v>93</v>
      </c>
      <c r="C2" s="16"/>
      <c r="J2" s="16" t="s">
        <v>111</v>
      </c>
    </row>
    <row r="3" ht="15.0" customHeight="1">
      <c r="A3" s="16"/>
      <c r="B3" s="16"/>
      <c r="C3" s="16" t="s">
        <v>112</v>
      </c>
      <c r="J3" s="16" t="s">
        <v>113</v>
      </c>
    </row>
    <row r="4" ht="15.0" customHeight="1">
      <c r="A4" s="16"/>
      <c r="B4" s="16"/>
      <c r="C4" s="16" t="s">
        <v>98</v>
      </c>
    </row>
    <row r="5" ht="15.0" customHeight="1">
      <c r="A5" s="16"/>
      <c r="B5" s="16" t="s">
        <v>100</v>
      </c>
      <c r="C5" s="198"/>
    </row>
    <row r="6" ht="15.0" customHeight="1">
      <c r="A6" s="16"/>
      <c r="B6" s="16"/>
      <c r="C6" s="16" t="s">
        <v>114</v>
      </c>
    </row>
    <row r="7" ht="15.0" customHeight="1">
      <c r="A7" s="16"/>
      <c r="B7" s="16"/>
      <c r="C7" s="16"/>
      <c r="D7" s="16" t="s">
        <v>102</v>
      </c>
    </row>
    <row r="8" ht="15.0" customHeight="1">
      <c r="A8" s="16"/>
      <c r="B8" s="16"/>
      <c r="C8" s="16"/>
      <c r="D8" s="16" t="s">
        <v>103</v>
      </c>
    </row>
    <row r="9" ht="15.0" customHeight="1">
      <c r="A9" s="16"/>
      <c r="B9" s="16"/>
      <c r="C9" s="16"/>
      <c r="D9" s="16" t="s">
        <v>104</v>
      </c>
    </row>
    <row r="10" ht="15.0" customHeight="1">
      <c r="A10" s="16"/>
      <c r="B10" s="16"/>
      <c r="C10" s="16"/>
      <c r="D10" s="16" t="s">
        <v>105</v>
      </c>
    </row>
    <row r="11" ht="15.0" customHeight="1">
      <c r="A11" s="16"/>
      <c r="B11" s="16"/>
      <c r="C11" s="16"/>
      <c r="D11" s="16" t="s">
        <v>106</v>
      </c>
    </row>
    <row r="12" ht="15.0" customHeight="1">
      <c r="A12" s="16"/>
      <c r="B12" s="16"/>
      <c r="C12" s="16"/>
      <c r="D12" s="16" t="s">
        <v>115</v>
      </c>
    </row>
    <row r="13" ht="15.0" customHeight="1">
      <c r="A13" s="16"/>
      <c r="B13" s="16"/>
      <c r="C13" s="16"/>
      <c r="D13" s="16" t="s">
        <v>107</v>
      </c>
    </row>
    <row r="14" ht="15.0" customHeight="1">
      <c r="A14" s="16"/>
      <c r="B14" s="16"/>
      <c r="C14" s="16" t="s">
        <v>116</v>
      </c>
    </row>
    <row r="15" ht="15.0" customHeight="1">
      <c r="A15" s="16"/>
      <c r="B15" s="16"/>
      <c r="C15" s="16"/>
      <c r="D15" s="16" t="s">
        <v>117</v>
      </c>
    </row>
    <row r="16" ht="15.0" customHeight="1">
      <c r="A16" s="16"/>
      <c r="B16" s="16"/>
      <c r="C16" s="16" t="s">
        <v>118</v>
      </c>
    </row>
    <row r="17" ht="15.0" customHeight="1">
      <c r="A17" s="16"/>
      <c r="B17" s="16"/>
      <c r="C17" s="16"/>
      <c r="D17" s="16" t="s">
        <v>119</v>
      </c>
    </row>
    <row r="18" ht="15.0" customHeight="1">
      <c r="A18" s="16"/>
      <c r="B18" s="16"/>
      <c r="C18" s="16"/>
    </row>
    <row r="19" ht="15.0" customHeight="1">
      <c r="A19" s="16"/>
      <c r="B19" s="16"/>
      <c r="C19" s="16"/>
    </row>
    <row r="20" ht="15.0" customHeight="1">
      <c r="A20" s="16"/>
      <c r="B20" s="16"/>
      <c r="C20" s="16"/>
    </row>
  </sheetData>
  <drawing r:id="rId1"/>
</worksheet>
</file>